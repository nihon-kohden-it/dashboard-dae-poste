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keur.sharepoint.com/teams/ProgettoPosteAED/Shared Documents/Comunicazioni generali Poste/Programma installazioni/"/>
    </mc:Choice>
  </mc:AlternateContent>
  <xr:revisionPtr revIDLastSave="1520" documentId="13_ncr:1_{CBA9281C-2FD7-4F2A-9580-7E7862165DA6}" xr6:coauthVersionLast="47" xr6:coauthVersionMax="47" xr10:uidLastSave="{50063F16-292A-4CD6-9E64-FE2EFD30A3E3}"/>
  <bookViews>
    <workbookView xWindow="-120" yWindow="-16320" windowWidth="29040" windowHeight="15720" tabRatio="500" firstSheet="1" activeTab="1" xr2:uid="{00000000-000D-0000-FFFF-FFFF00000000}"/>
  </bookViews>
  <sheets>
    <sheet name="Riepilogo" sheetId="1" r:id="rId1"/>
    <sheet name="Calendario" sheetId="2" r:id="rId2"/>
    <sheet name="Pilota" sheetId="3" r:id="rId3"/>
    <sheet name="Tecnico A" sheetId="4" r:id="rId4"/>
    <sheet name="Tecnico B" sheetId="5" r:id="rId5"/>
    <sheet name="Tecnico C" sheetId="6" r:id="rId6"/>
    <sheet name="1°Preparazione" sheetId="7" r:id="rId7"/>
    <sheet name="Preparazinoe Tecnico C" sheetId="8" r:id="rId8"/>
    <sheet name="2°Preparazione (25-ago)" sheetId="9" r:id="rId9"/>
    <sheet name="3°Preparazione (8-sett)" sheetId="10" r:id="rId10"/>
    <sheet name="4°Preparazione (21-sett)" sheetId="12" r:id="rId11"/>
    <sheet name="5°Preparazione (5-ott)" sheetId="11" r:id="rId12"/>
  </sheets>
  <definedNames>
    <definedName name="_xlnm._FilterDatabase" localSheetId="6" hidden="1">'1°Preparazione'!$A$1:$J$1</definedName>
    <definedName name="_xlnm._FilterDatabase" localSheetId="8" hidden="1">'2°Preparazione (25-ago)'!$A$1:$K$33</definedName>
    <definedName name="_xlnm._FilterDatabase" localSheetId="9" hidden="1">'3°Preparazione (8-sett)'!$A$1:$K$44</definedName>
    <definedName name="_xlnm._FilterDatabase" localSheetId="10" hidden="1">'4°Preparazione (21-sett)'!$A$1:$K$55</definedName>
    <definedName name="_xlnm._FilterDatabase" localSheetId="11" hidden="1">'5°Preparazione (5-ott)'!$A$1:$K$32</definedName>
    <definedName name="_xlnm._FilterDatabase" localSheetId="1" hidden="1">Calendario!$A$1:$K$254</definedName>
    <definedName name="_xlnm._FilterDatabase" localSheetId="2" hidden="1">Pilota!$A$1:$I$1</definedName>
    <definedName name="_xlnm._FilterDatabase" localSheetId="3" hidden="1">'Tecnico A'!$A$1:$I$86</definedName>
    <definedName name="_xlnm._FilterDatabase" localSheetId="4" hidden="1">'Tecnico B'!$A$1:$I$88</definedName>
    <definedName name="_xlnm._FilterDatabase" localSheetId="5" hidden="1">'Tecnico C'!$A$1:$K$49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" i="11" l="1"/>
  <c r="N1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O1" i="10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O1" i="8"/>
  <c r="N1" i="7"/>
  <c r="K254" i="2"/>
  <c r="K252" i="2"/>
  <c r="K251" i="2"/>
  <c r="K250" i="2"/>
  <c r="K249" i="2"/>
  <c r="K247" i="2"/>
  <c r="K246" i="2"/>
  <c r="K244" i="2"/>
  <c r="K243" i="2"/>
  <c r="K242" i="2"/>
  <c r="K241" i="2"/>
  <c r="K240" i="2"/>
  <c r="K239" i="2"/>
  <c r="K216" i="2"/>
  <c r="K208" i="2"/>
  <c r="K235" i="2"/>
  <c r="K207" i="2"/>
  <c r="K125" i="2"/>
  <c r="K234" i="2"/>
  <c r="K233" i="2"/>
  <c r="K124" i="2"/>
  <c r="K121" i="2"/>
  <c r="K232" i="2"/>
  <c r="K231" i="2"/>
  <c r="K230" i="2"/>
  <c r="K118" i="2"/>
  <c r="K229" i="2"/>
  <c r="K228" i="2"/>
  <c r="K227" i="2"/>
  <c r="K226" i="2"/>
  <c r="K225" i="2"/>
  <c r="K114" i="2"/>
  <c r="K224" i="2"/>
  <c r="K223" i="2"/>
  <c r="K222" i="2"/>
  <c r="K221" i="2"/>
  <c r="K220" i="2"/>
  <c r="K219" i="2"/>
  <c r="K218" i="2"/>
  <c r="K217" i="2"/>
  <c r="K215" i="2"/>
  <c r="K214" i="2"/>
  <c r="K213" i="2"/>
  <c r="K212" i="2"/>
  <c r="K211" i="2"/>
  <c r="K210" i="2"/>
  <c r="K209" i="2"/>
  <c r="K107" i="2"/>
  <c r="K206" i="2"/>
  <c r="K205" i="2"/>
  <c r="K204" i="2"/>
  <c r="K203" i="2"/>
  <c r="K202" i="2"/>
  <c r="K201" i="2"/>
  <c r="K200" i="2"/>
  <c r="K199" i="2"/>
  <c r="K198" i="2"/>
  <c r="K103" i="2"/>
  <c r="K195" i="2"/>
  <c r="K100" i="2"/>
  <c r="K194" i="2"/>
  <c r="K193" i="2"/>
  <c r="K191" i="2"/>
  <c r="K189" i="2"/>
  <c r="K188" i="2"/>
  <c r="K93" i="2"/>
  <c r="K187" i="2"/>
  <c r="K186" i="2"/>
  <c r="K185" i="2"/>
  <c r="K184" i="2"/>
  <c r="K183" i="2"/>
  <c r="K182" i="2"/>
  <c r="K179" i="2"/>
  <c r="K178" i="2"/>
  <c r="K86" i="2"/>
  <c r="K177" i="2"/>
  <c r="K176" i="2"/>
  <c r="K175" i="2"/>
  <c r="K174" i="2"/>
  <c r="K173" i="2"/>
  <c r="K170" i="2"/>
  <c r="K253" i="2"/>
  <c r="K168" i="2"/>
  <c r="K248" i="2"/>
  <c r="K165" i="2"/>
  <c r="K245" i="2"/>
  <c r="K164" i="2"/>
  <c r="K163" i="2"/>
  <c r="K162" i="2"/>
  <c r="K161" i="2"/>
  <c r="K158" i="2"/>
  <c r="K238" i="2"/>
  <c r="K157" i="2"/>
  <c r="K237" i="2"/>
  <c r="K156" i="2"/>
  <c r="K155" i="2"/>
  <c r="K236" i="2"/>
  <c r="K154" i="2"/>
  <c r="K153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97" i="2"/>
  <c r="K196" i="2"/>
  <c r="K123" i="2"/>
  <c r="K122" i="2"/>
  <c r="K120" i="2"/>
  <c r="K192" i="2"/>
  <c r="K119" i="2"/>
  <c r="K117" i="2"/>
  <c r="K190" i="2"/>
  <c r="K116" i="2"/>
  <c r="K115" i="2"/>
  <c r="K113" i="2"/>
  <c r="K112" i="2"/>
  <c r="K111" i="2"/>
  <c r="K181" i="2"/>
  <c r="K180" i="2"/>
  <c r="K110" i="2"/>
  <c r="K109" i="2"/>
  <c r="K108" i="2"/>
  <c r="K106" i="2"/>
  <c r="K105" i="2"/>
  <c r="K172" i="2"/>
  <c r="K104" i="2"/>
  <c r="K171" i="2"/>
  <c r="K102" i="2"/>
  <c r="K101" i="2"/>
  <c r="K169" i="2"/>
  <c r="K99" i="2"/>
  <c r="K98" i="2"/>
  <c r="K97" i="2"/>
  <c r="K96" i="2"/>
  <c r="K95" i="2"/>
  <c r="K167" i="2"/>
  <c r="K166" i="2"/>
  <c r="K94" i="2"/>
  <c r="K92" i="2"/>
  <c r="K91" i="2"/>
  <c r="K90" i="2"/>
  <c r="K89" i="2"/>
  <c r="K160" i="2"/>
  <c r="K159" i="2"/>
  <c r="K88" i="2"/>
  <c r="K87" i="2"/>
  <c r="K85" i="2"/>
  <c r="K84" i="2"/>
  <c r="K83" i="2"/>
  <c r="K82" i="2"/>
  <c r="K81" i="2"/>
  <c r="K152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1" i="2"/>
  <c r="K39" i="2"/>
  <c r="K38" i="2"/>
  <c r="K37" i="2"/>
  <c r="K36" i="2"/>
  <c r="K34" i="2"/>
  <c r="K33" i="2"/>
  <c r="K31" i="2"/>
  <c r="K30" i="2"/>
  <c r="K29" i="2"/>
  <c r="K28" i="2"/>
  <c r="K26" i="2"/>
  <c r="K25" i="2"/>
  <c r="K23" i="2"/>
  <c r="K22" i="2"/>
  <c r="K21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C44" i="1"/>
  <c r="C43" i="1"/>
  <c r="C42" i="1"/>
  <c r="C41" i="1"/>
  <c r="C35" i="1"/>
  <c r="C34" i="1"/>
  <c r="C33" i="1"/>
  <c r="C32" i="1"/>
  <c r="F18" i="1"/>
  <c r="E18" i="1"/>
  <c r="D18" i="1"/>
  <c r="F17" i="1"/>
  <c r="E17" i="1"/>
  <c r="D17" i="1"/>
  <c r="F16" i="1"/>
  <c r="E16" i="1"/>
  <c r="D16" i="1"/>
  <c r="F15" i="1"/>
  <c r="E15" i="1"/>
  <c r="D15" i="1"/>
  <c r="C10" i="1"/>
  <c r="C9" i="1"/>
  <c r="C8" i="1"/>
  <c r="C7" i="1"/>
  <c r="D41" i="1" l="1"/>
  <c r="D35" i="1"/>
  <c r="D42" i="1"/>
  <c r="C18" i="1"/>
  <c r="C45" i="1"/>
  <c r="C36" i="1"/>
  <c r="D34" i="1"/>
  <c r="D33" i="1"/>
  <c r="C16" i="1"/>
  <c r="D43" i="1"/>
  <c r="D44" i="1"/>
  <c r="D19" i="1"/>
  <c r="C17" i="1"/>
  <c r="D32" i="1"/>
  <c r="C6" i="1"/>
  <c r="C15" i="1"/>
  <c r="D45" i="1" l="1"/>
  <c r="D36" i="1"/>
  <c r="C19" i="1"/>
</calcChain>
</file>

<file path=xl/sharedStrings.xml><?xml version="1.0" encoding="utf-8"?>
<sst xmlns="http://schemas.openxmlformats.org/spreadsheetml/2006/main" count="5850" uniqueCount="1017">
  <si>
    <t>Piano Installazioni DAE — Poste Italiane</t>
  </si>
  <si>
    <t>Nihon Kohden Europe GmbH · Piano Installazioni v1.0 · Emesso il 20/07/2026</t>
  </si>
  <si>
    <t>DATI GENERALI</t>
  </si>
  <si>
    <t>Sedi totali</t>
  </si>
  <si>
    <t>DAE totali</t>
  </si>
  <si>
    <t>Prima installazione</t>
  </si>
  <si>
    <t>Ultima installazione</t>
  </si>
  <si>
    <t>Giornate di installazione</t>
  </si>
  <si>
    <t>RIPARTIZIONE PER SQUADRA</t>
  </si>
  <si>
    <t>Tecnico</t>
  </si>
  <si>
    <t>Sedi</t>
  </si>
  <si>
    <t>DAE</t>
  </si>
  <si>
    <t>Dal</t>
  </si>
  <si>
    <t>Al</t>
  </si>
  <si>
    <t>Pilota</t>
  </si>
  <si>
    <t>Tecnico A</t>
  </si>
  <si>
    <t>Tecnico B</t>
  </si>
  <si>
    <t>Tecnico C</t>
  </si>
  <si>
    <t>TOTALE</t>
  </si>
  <si>
    <t>INFORMAZIONI TECNICI</t>
  </si>
  <si>
    <t>Nome</t>
  </si>
  <si>
    <t>Telefono</t>
  </si>
  <si>
    <t>Targa</t>
  </si>
  <si>
    <t>Bruno Guimaraes Reis</t>
  </si>
  <si>
    <t>378 3065974</t>
  </si>
  <si>
    <t>GD285XS</t>
  </si>
  <si>
    <t>Ricardo De Oliveira Mello</t>
  </si>
  <si>
    <t>378 3091424</t>
  </si>
  <si>
    <t>GJ018JR</t>
  </si>
  <si>
    <t>Antonio Forte</t>
  </si>
  <si>
    <t>HC655YN</t>
  </si>
  <si>
    <t>DAE PER MESE</t>
  </si>
  <si>
    <t>Mese</t>
  </si>
  <si>
    <t>Sedi (prima visita)</t>
  </si>
  <si>
    <t>Luglio 2026</t>
  </si>
  <si>
    <t>Agosto 2026</t>
  </si>
  <si>
    <t>Settembre 2026</t>
  </si>
  <si>
    <t>Ottobre 2026</t>
  </si>
  <si>
    <t>DAE PER GRUPPO</t>
  </si>
  <si>
    <t>Gruppo</t>
  </si>
  <si>
    <t>PLOG</t>
  </si>
  <si>
    <t>Poste Italiane</t>
  </si>
  <si>
    <t>Postel</t>
  </si>
  <si>
    <t>SDA</t>
  </si>
  <si>
    <t>Nota: il conteggio sedi considera la prima giornata di intervento per ciascuna sede (le sedi con installazione su più giornate sono contate una sola volta).</t>
  </si>
  <si>
    <t>Data</t>
  </si>
  <si>
    <t>ID Sede</t>
  </si>
  <si>
    <t>Identificativo Stabile</t>
  </si>
  <si>
    <t>Regione</t>
  </si>
  <si>
    <t>Comune</t>
  </si>
  <si>
    <t>Indirizzo</t>
  </si>
  <si>
    <t>N. DAE</t>
  </si>
  <si>
    <t>Fascia Oraria</t>
  </si>
  <si>
    <t>PrimaVisita</t>
  </si>
  <si>
    <t>099 - ROMA</t>
  </si>
  <si>
    <t>10415</t>
  </si>
  <si>
    <t>LAZIO</t>
  </si>
  <si>
    <t>ROMA</t>
  </si>
  <si>
    <t>Viale Giuseppe Mazzini 101, Roma</t>
  </si>
  <si>
    <t>15:00-18:00</t>
  </si>
  <si>
    <t>191 - ROMA</t>
  </si>
  <si>
    <t>301358</t>
  </si>
  <si>
    <t>Via Del Maggiolino 34/36, Roma</t>
  </si>
  <si>
    <t>14:00-15:00</t>
  </si>
  <si>
    <t>001 - ROMA</t>
  </si>
  <si>
    <t>10365</t>
  </si>
  <si>
    <t>Viale Europa 175, Roma</t>
  </si>
  <si>
    <t>08:00-20:00</t>
  </si>
  <si>
    <t>005 - ROMA</t>
  </si>
  <si>
    <t>10366</t>
  </si>
  <si>
    <t>Viale Europa 190, Roma</t>
  </si>
  <si>
    <t>08:00-18:00</t>
  </si>
  <si>
    <t>063 - ROMA</t>
  </si>
  <si>
    <t>302713</t>
  </si>
  <si>
    <t>Via Lungotevere Flaminio 67, Roma</t>
  </si>
  <si>
    <t>013 - ROMA</t>
  </si>
  <si>
    <t>10297</t>
  </si>
  <si>
    <t>Viale Asia 90, Roma</t>
  </si>
  <si>
    <t>14:00-18:00</t>
  </si>
  <si>
    <t>021 - FIUMICINO</t>
  </si>
  <si>
    <t>10176</t>
  </si>
  <si>
    <t>FIUMICINO</t>
  </si>
  <si>
    <t>Via Gino Cappannini 2, Fiumicino</t>
  </si>
  <si>
    <t>10:00-16:00</t>
  </si>
  <si>
    <t>179 - ROMA</t>
  </si>
  <si>
    <t>FIL. ROMA 4</t>
  </si>
  <si>
    <t>Viale delle Arti 119, Roma</t>
  </si>
  <si>
    <t>16:00-18:00</t>
  </si>
  <si>
    <t>010 - FARA IN SABINA</t>
  </si>
  <si>
    <t>FARA IN SABINA</t>
  </si>
  <si>
    <t>Via della Chimica, Passo Corese, Fara in Sabina (RI)</t>
  </si>
  <si>
    <t>13:30-18:00</t>
  </si>
  <si>
    <t>190 - RIETI</t>
  </si>
  <si>
    <t>10026</t>
  </si>
  <si>
    <t>RIETI</t>
  </si>
  <si>
    <t>Via Tancia 62, Rieti</t>
  </si>
  <si>
    <t>11:00-12:00</t>
  </si>
  <si>
    <t>193 - VITERBO</t>
  </si>
  <si>
    <t>302179</t>
  </si>
  <si>
    <t>VITERBO</t>
  </si>
  <si>
    <t>Via dell'Industria 57, Viterbo</t>
  </si>
  <si>
    <t>08:00-09:00</t>
  </si>
  <si>
    <t>145 - ROMA</t>
  </si>
  <si>
    <t>10285</t>
  </si>
  <si>
    <t>Via Affile 103, Roma</t>
  </si>
  <si>
    <t>148 - ROMA</t>
  </si>
  <si>
    <t>26241</t>
  </si>
  <si>
    <t>Via di Valle Muricana, Roma</t>
  </si>
  <si>
    <t>10:30-12:30</t>
  </si>
  <si>
    <t>178 - ROMA</t>
  </si>
  <si>
    <t>FIL. ROMA 3</t>
  </si>
  <si>
    <t>Via Tiberina km 14, Roma</t>
  </si>
  <si>
    <t>08:00-10:00</t>
  </si>
  <si>
    <t>180 - ROMA</t>
  </si>
  <si>
    <t>FIL. ROMA 5</t>
  </si>
  <si>
    <t>Via Affile 59, Roma</t>
  </si>
  <si>
    <t>14:00-16:00</t>
  </si>
  <si>
    <t>058 - ROMA</t>
  </si>
  <si>
    <t>10362</t>
  </si>
  <si>
    <t>Viale degli Eroi di Cefalonia, Roma</t>
  </si>
  <si>
    <t>08:00-13:00</t>
  </si>
  <si>
    <t>146 - ROMA</t>
  </si>
  <si>
    <t>10485</t>
  </si>
  <si>
    <t>Via Amedeo Bocchi, Roma</t>
  </si>
  <si>
    <t>08:00-12:00</t>
  </si>
  <si>
    <t>061 - TARANTO</t>
  </si>
  <si>
    <t>PUGLIA</t>
  </si>
  <si>
    <t>TARANTO</t>
  </si>
  <si>
    <t>Via Giovinazzi Ciro 78, Taranto</t>
  </si>
  <si>
    <t>09:30-15:30</t>
  </si>
  <si>
    <t>019 - VERONA</t>
  </si>
  <si>
    <t>13472</t>
  </si>
  <si>
    <t>VENETO</t>
  </si>
  <si>
    <t>VERONA</t>
  </si>
  <si>
    <t>Via delle Coste, Verona</t>
  </si>
  <si>
    <t>10:00-13:30</t>
  </si>
  <si>
    <t>113 - PISTOIA</t>
  </si>
  <si>
    <t>9241</t>
  </si>
  <si>
    <t>TOSCANA</t>
  </si>
  <si>
    <t>PISTOIA</t>
  </si>
  <si>
    <t>Via Pratese 49, Pistoia</t>
  </si>
  <si>
    <t>13:00-15:00</t>
  </si>
  <si>
    <t>127 - FIRENZE</t>
  </si>
  <si>
    <t>4424</t>
  </si>
  <si>
    <t>FIRENZE</t>
  </si>
  <si>
    <t>Via della Casella 17, Firenze</t>
  </si>
  <si>
    <t>15:30-17:00</t>
  </si>
  <si>
    <t>202 - TARANTO</t>
  </si>
  <si>
    <t>Via Angelini Vito, Taranto</t>
  </si>
  <si>
    <t>009 - SESTO FIORENTINO</t>
  </si>
  <si>
    <t>14730</t>
  </si>
  <si>
    <t>SESTO FIORENTINO</t>
  </si>
  <si>
    <t>Via Pier Paolo Pasolini 397, Sesto Fiorentino</t>
  </si>
  <si>
    <t>11:30-18:00</t>
  </si>
  <si>
    <t>029 - VERONA</t>
  </si>
  <si>
    <t>13510</t>
  </si>
  <si>
    <t>Piazzale XXV Aprile 4/A, Verona</t>
  </si>
  <si>
    <t>09:00-12:30</t>
  </si>
  <si>
    <t>006 - BARI</t>
  </si>
  <si>
    <t>BARI</t>
  </si>
  <si>
    <t>Via Amendola Giovanni 116, Bari</t>
  </si>
  <si>
    <t>09:00-18:00</t>
  </si>
  <si>
    <t>110 - FIRENZE</t>
  </si>
  <si>
    <t>4441</t>
  </si>
  <si>
    <t>Via del Mezzetta, Firenze</t>
  </si>
  <si>
    <t>08:30-10:30</t>
  </si>
  <si>
    <t>183 - VERONA</t>
  </si>
  <si>
    <t>FIL. VERONA</t>
  </si>
  <si>
    <t>Strada dell'Alpo 54/A, Verona</t>
  </si>
  <si>
    <t>14:00-15:30</t>
  </si>
  <si>
    <t>185 - VERONA</t>
  </si>
  <si>
    <t>Via dell'Elettronica 6, Verona</t>
  </si>
  <si>
    <t>16:00-17:30</t>
  </si>
  <si>
    <t>018 - FIRENZE</t>
  </si>
  <si>
    <t>4444</t>
  </si>
  <si>
    <t>Piazza Davanzati 4, Firenze</t>
  </si>
  <si>
    <t>13:30-17:00</t>
  </si>
  <si>
    <t>09:00-14:00</t>
  </si>
  <si>
    <t>048 - PRATO</t>
  </si>
  <si>
    <t>9530</t>
  </si>
  <si>
    <t>PRATO</t>
  </si>
  <si>
    <t>Via Arcivescovo Antonio Martini 54, Prato</t>
  </si>
  <si>
    <t>08:30-11:30</t>
  </si>
  <si>
    <t>049 - PADOVA</t>
  </si>
  <si>
    <t>8027</t>
  </si>
  <si>
    <t>PADOVA</t>
  </si>
  <si>
    <t>Via della Ricerca Scientifica 5, Padova</t>
  </si>
  <si>
    <t>162 - LECCE</t>
  </si>
  <si>
    <t>LECCE</t>
  </si>
  <si>
    <t>Via Lequile 10, Lecce</t>
  </si>
  <si>
    <t>206 - VICENZA</t>
  </si>
  <si>
    <t>13797</t>
  </si>
  <si>
    <t>VICENZA</t>
  </si>
  <si>
    <t>Strada Molini 51, Vicenza</t>
  </si>
  <si>
    <t>09:30-10:30</t>
  </si>
  <si>
    <t>243 - VICENZA</t>
  </si>
  <si>
    <t>FIL. VICENZA</t>
  </si>
  <si>
    <t>Via Cuminello 20, Vicenza</t>
  </si>
  <si>
    <t>028 - VENEZIA</t>
  </si>
  <si>
    <t>13118</t>
  </si>
  <si>
    <t>VENEZIA</t>
  </si>
  <si>
    <t>Via Torino 88, Venezia Mestre</t>
  </si>
  <si>
    <t>14:00-17:30</t>
  </si>
  <si>
    <t>047 - FIRENZE</t>
  </si>
  <si>
    <t>16051</t>
  </si>
  <si>
    <t>Via Francesco Geminiani, Firenze</t>
  </si>
  <si>
    <t>046 - MODUGNO</t>
  </si>
  <si>
    <t>MODUGNO</t>
  </si>
  <si>
    <t>Statale Provinciale 54 Snc, Modugno</t>
  </si>
  <si>
    <t>09:00-13:00</t>
  </si>
  <si>
    <t>115 - VENEZIA</t>
  </si>
  <si>
    <t>13091</t>
  </si>
  <si>
    <t>Viale Alvise Ca' da Mosto 2, Venezia Mestre</t>
  </si>
  <si>
    <t>087 - FOGGIA</t>
  </si>
  <si>
    <t>4582</t>
  </si>
  <si>
    <t>FOGGIA</t>
  </si>
  <si>
    <t>Viale Xxiv Maggio 26, Foggia</t>
  </si>
  <si>
    <t>161 - FOGGIA</t>
  </si>
  <si>
    <t>4577</t>
  </si>
  <si>
    <t>Via Motta Della Regina Snc, Foggia</t>
  </si>
  <si>
    <t>225 - PADOVA</t>
  </si>
  <si>
    <t>PADOVA HUB</t>
  </si>
  <si>
    <t>Via Visco, 1, 35010 Limena PD</t>
  </si>
  <si>
    <t>10:00-11:00</t>
  </si>
  <si>
    <t>226 - PADOVA</t>
  </si>
  <si>
    <t>FIL. PADOVA</t>
  </si>
  <si>
    <t>Via Nuova Zelanda 8, Padova</t>
  </si>
  <si>
    <t>11:30-12:30</t>
  </si>
  <si>
    <t>041 - TREVISO</t>
  </si>
  <si>
    <t>12549</t>
  </si>
  <si>
    <t>TREVISO</t>
  </si>
  <si>
    <t>Piazza della Vittoria 1, Treviso</t>
  </si>
  <si>
    <t>12:30-15:30</t>
  </si>
  <si>
    <t>080 - FIRENZE</t>
  </si>
  <si>
    <t>FIL. FIRENZE</t>
  </si>
  <si>
    <t>Viale Salvador Allende 85, Firenze</t>
  </si>
  <si>
    <t>14:00-16:30</t>
  </si>
  <si>
    <t>182 - VENEZIA</t>
  </si>
  <si>
    <t>FIL. VENEZIA</t>
  </si>
  <si>
    <t>Via Sebastiano Venier 93, Venezia</t>
  </si>
  <si>
    <t>09:00-11:00</t>
  </si>
  <si>
    <t>205 - TREVISO</t>
  </si>
  <si>
    <t>12539</t>
  </si>
  <si>
    <t>Via Castagnole 20/S, Treviso</t>
  </si>
  <si>
    <t>16:00-17:00</t>
  </si>
  <si>
    <t>011 - REGGIO DI CALABRIA</t>
  </si>
  <si>
    <t>9766</t>
  </si>
  <si>
    <t>CALABRIA</t>
  </si>
  <si>
    <t>REGGIO DI CALABRIA</t>
  </si>
  <si>
    <t>Strada Statale 18 Primo Tratto 89, Reggio Di Calabria</t>
  </si>
  <si>
    <t>020 - PORDENONE</t>
  </si>
  <si>
    <t>9327</t>
  </si>
  <si>
    <t>FRIULI VENEZIA GIULIA</t>
  </si>
  <si>
    <t>PORDENONE</t>
  </si>
  <si>
    <t>Via Santa Caterina 10/A, Pordenone</t>
  </si>
  <si>
    <t>055 - REGGIO DI CALABRIA</t>
  </si>
  <si>
    <t>9760</t>
  </si>
  <si>
    <t>Via Miraglia Biagio 14, Reggio Di Calabria</t>
  </si>
  <si>
    <t>112 - PISA</t>
  </si>
  <si>
    <t>9120</t>
  </si>
  <si>
    <t>PISA</t>
  </si>
  <si>
    <t>Via Emilia 370, Pisa</t>
  </si>
  <si>
    <t>15:30-17:30</t>
  </si>
  <si>
    <t>164 - LUCCA</t>
  </si>
  <si>
    <t>6131</t>
  </si>
  <si>
    <t>LUCCA</t>
  </si>
  <si>
    <t>Via Carlo Piaggia 150, Lucca</t>
  </si>
  <si>
    <t>08:30-10:00</t>
  </si>
  <si>
    <t>165 - MASSA</t>
  </si>
  <si>
    <t>16083</t>
  </si>
  <si>
    <t>MASSA</t>
  </si>
  <si>
    <t>Via Giosuè Carducci 40, Massa</t>
  </si>
  <si>
    <t>13:00-14:30</t>
  </si>
  <si>
    <t>219 - LUCCA</t>
  </si>
  <si>
    <t>FIL. LUCCA</t>
  </si>
  <si>
    <t>Via Enrico Mattei, Lucca</t>
  </si>
  <si>
    <t>231 - PORDENONE</t>
  </si>
  <si>
    <t>FIL. PORDENONE</t>
  </si>
  <si>
    <t>Via F.lli Zambon 11/A, Pordenone</t>
  </si>
  <si>
    <t>14:30-15:30</t>
  </si>
  <si>
    <t>237 - TREVISO</t>
  </si>
  <si>
    <t>FIL. TREVISO</t>
  </si>
  <si>
    <t>Via Pacinotti, Treviso</t>
  </si>
  <si>
    <t>09:00-16:00</t>
  </si>
  <si>
    <t>034 - TRIESTE</t>
  </si>
  <si>
    <t>12607</t>
  </si>
  <si>
    <t>TRIESTE</t>
  </si>
  <si>
    <t>Piazza Vittorio Veneto 1, Trieste</t>
  </si>
  <si>
    <t>09:00-12:00</t>
  </si>
  <si>
    <t>111 - LIVORNO</t>
  </si>
  <si>
    <t>14655</t>
  </si>
  <si>
    <t>LIVORNO</t>
  </si>
  <si>
    <t>Via Masi 11, Livorno</t>
  </si>
  <si>
    <t>10:00-12:00</t>
  </si>
  <si>
    <t>143 - TRIESTE</t>
  </si>
  <si>
    <t>12583</t>
  </si>
  <si>
    <t>Via Brigata Casale 4, Trieste</t>
  </si>
  <si>
    <t>13:30-15:00</t>
  </si>
  <si>
    <t>204 - AREZZO</t>
  </si>
  <si>
    <t>502</t>
  </si>
  <si>
    <t>AREZZO</t>
  </si>
  <si>
    <t>Via Don Luigi Sturzo 112, Arezzo</t>
  </si>
  <si>
    <t>16:30-17:30</t>
  </si>
  <si>
    <t>209 - AREZZO</t>
  </si>
  <si>
    <t>FIL. AREZZO</t>
  </si>
  <si>
    <t>Via di Basserone 51, Badia al Pino, Civitella in Val di Chiana (AR)</t>
  </si>
  <si>
    <t>15:00-16:00</t>
  </si>
  <si>
    <t>230 - PISA</t>
  </si>
  <si>
    <t>FIL. PISA</t>
  </si>
  <si>
    <t>Via Aldrovandi 14, Ospedaletto, Pisa</t>
  </si>
  <si>
    <t>08:30-09:30</t>
  </si>
  <si>
    <t>238 - TRIESTE</t>
  </si>
  <si>
    <t>FIL. TRIESTE</t>
  </si>
  <si>
    <t>040 - PERUGIA</t>
  </si>
  <si>
    <t>8731</t>
  </si>
  <si>
    <t>UMBRIA</t>
  </si>
  <si>
    <t>PERUGIA</t>
  </si>
  <si>
    <t>Via Mario Angeloni 72, Perugia</t>
  </si>
  <si>
    <t>042 - COSENZA</t>
  </si>
  <si>
    <t>3542</t>
  </si>
  <si>
    <t>COSENZA</t>
  </si>
  <si>
    <t>Via Fiume 8, Cosenza</t>
  </si>
  <si>
    <t>091 - LAMEZIA TERME</t>
  </si>
  <si>
    <t>3066</t>
  </si>
  <si>
    <t>LAMEZIA TERME</t>
  </si>
  <si>
    <t>Località San Pietro Lametino Snc, Lamezia Terme</t>
  </si>
  <si>
    <t>095 - UDINE</t>
  </si>
  <si>
    <t>303198</t>
  </si>
  <si>
    <t>UDINE</t>
  </si>
  <si>
    <t>Via Galileo Galilei 38, Udine</t>
  </si>
  <si>
    <t>167 - PERUGIA</t>
  </si>
  <si>
    <t>8729</t>
  </si>
  <si>
    <t>Via Mario Angeloni 1, Perugia</t>
  </si>
  <si>
    <t>176 - PERUGIA</t>
  </si>
  <si>
    <t>FIL. PERUGIA</t>
  </si>
  <si>
    <t>Via Anna Maria Mozzoni, Perugia</t>
  </si>
  <si>
    <t>239 - UDINE</t>
  </si>
  <si>
    <t>FIL. UDINE</t>
  </si>
  <si>
    <t>Via Galileo Galilei 9, Udine</t>
  </si>
  <si>
    <t>079 - BOLZANO * BOZEN</t>
  </si>
  <si>
    <t>29434</t>
  </si>
  <si>
    <t>TRENTINO ALTO ADIGE</t>
  </si>
  <si>
    <t>BOLZANO * BOZEN</t>
  </si>
  <si>
    <t>Via Resia 190, Bolzano</t>
  </si>
  <si>
    <t>10:30-13:00</t>
  </si>
  <si>
    <t>114 - TERNI</t>
  </si>
  <si>
    <t>11620</t>
  </si>
  <si>
    <t>TERNI</t>
  </si>
  <si>
    <t>Via Donato Bramante 5, Terni</t>
  </si>
  <si>
    <t>166 - TRENTO</t>
  </si>
  <si>
    <t>12346</t>
  </si>
  <si>
    <t>TRENTO</t>
  </si>
  <si>
    <t>Via dell'Ora del Garda 57, Trento</t>
  </si>
  <si>
    <t>14:30-16:00</t>
  </si>
  <si>
    <t>236 - TERNI</t>
  </si>
  <si>
    <t>FIL. TERNI</t>
  </si>
  <si>
    <t>Via dell'Impresa 31, Terni</t>
  </si>
  <si>
    <t>038 - BRESCIA</t>
  </si>
  <si>
    <t>2044</t>
  </si>
  <si>
    <t>LOMBARDIA</t>
  </si>
  <si>
    <t>BRESCIA</t>
  </si>
  <si>
    <t>Via Lattanzio Gambara 10, Brescia</t>
  </si>
  <si>
    <t>13:30-16:30</t>
  </si>
  <si>
    <t>152 - MANTOVA</t>
  </si>
  <si>
    <t>6340</t>
  </si>
  <si>
    <t>MANTOVA</t>
  </si>
  <si>
    <t>Via Pietro Nenni 2, Mantova</t>
  </si>
  <si>
    <t>09:30-11:00</t>
  </si>
  <si>
    <t>171 - BRESCIA</t>
  </si>
  <si>
    <t>FIL. BRESCIA</t>
  </si>
  <si>
    <t>Via Bainsizza 23, Brescia</t>
  </si>
  <si>
    <t>16:30-18:00</t>
  </si>
  <si>
    <t>199 - PESARO</t>
  </si>
  <si>
    <t>15359</t>
  </si>
  <si>
    <t>MARCHE</t>
  </si>
  <si>
    <t>PESARO</t>
  </si>
  <si>
    <t>Strada dei Cacciatori 42, Pesaro</t>
  </si>
  <si>
    <t>229 - PESARO</t>
  </si>
  <si>
    <t>FIL. PESARO</t>
  </si>
  <si>
    <t>003 - CHIARI</t>
  </si>
  <si>
    <t>CHIARI</t>
  </si>
  <si>
    <t>Via Sam Quilleri 1, Chiari BS</t>
  </si>
  <si>
    <t>11:30-17:30</t>
  </si>
  <si>
    <t>027 - PALERMO</t>
  </si>
  <si>
    <t>8188</t>
  </si>
  <si>
    <t>SICILIA</t>
  </si>
  <si>
    <t>PALERMO</t>
  </si>
  <si>
    <t>Via De Gasperi Alcide 103, Palermo</t>
  </si>
  <si>
    <t>065 - BRESCIA</t>
  </si>
  <si>
    <t>15947</t>
  </si>
  <si>
    <t>Via Dalmazia 13, Brescia</t>
  </si>
  <si>
    <t>08:30-11:00</t>
  </si>
  <si>
    <t>072 - ANCONA</t>
  </si>
  <si>
    <t>323</t>
  </si>
  <si>
    <t>ANCONA</t>
  </si>
  <si>
    <t>Via Cameranense 335/C, Ancona</t>
  </si>
  <si>
    <t>086 - ANCONA</t>
  </si>
  <si>
    <t>340</t>
  </si>
  <si>
    <t>Largo XXIV Maggio 2, Ancona</t>
  </si>
  <si>
    <t>168 - ANCONA</t>
  </si>
  <si>
    <t>FIL. ANCONA</t>
  </si>
  <si>
    <t>Via Carotti, Ancona</t>
  </si>
  <si>
    <t>220 - civitanova</t>
  </si>
  <si>
    <t>FIL CIVITANOVA MARCHE</t>
  </si>
  <si>
    <t>civitanova</t>
  </si>
  <si>
    <t>Via Enzo Ferrari 79, Civitanova Marche</t>
  </si>
  <si>
    <t>17:00-18:00</t>
  </si>
  <si>
    <t>08:30-13:00</t>
  </si>
  <si>
    <t>014 - PALERMO</t>
  </si>
  <si>
    <t>8236</t>
  </si>
  <si>
    <t>Via Monteleone Snc, Palermo</t>
  </si>
  <si>
    <t>059 - BERGAMO</t>
  </si>
  <si>
    <t>1355</t>
  </si>
  <si>
    <t>BERGAMO</t>
  </si>
  <si>
    <t>Via Matris Domini 2, Bergamo</t>
  </si>
  <si>
    <t>15:00-17:30</t>
  </si>
  <si>
    <t>157 - ASCOLI PICENO</t>
  </si>
  <si>
    <t>593</t>
  </si>
  <si>
    <t>ASCOLI PICENO</t>
  </si>
  <si>
    <t>Via del Commercio 13, Ascoli Piceno</t>
  </si>
  <si>
    <t>14:30-16:30</t>
  </si>
  <si>
    <t>198 - MACERATA</t>
  </si>
  <si>
    <t>6236</t>
  </si>
  <si>
    <t>MACERATA</t>
  </si>
  <si>
    <t>Via Annibali 108, Macerata</t>
  </si>
  <si>
    <t>200 - PORTO SAN GIORGIO</t>
  </si>
  <si>
    <t>4244</t>
  </si>
  <si>
    <t>PORTO SAN GIORGIO</t>
  </si>
  <si>
    <t>Via Thomas Alva Edison, Porto San Giorgio</t>
  </si>
  <si>
    <t>10:30-11:30</t>
  </si>
  <si>
    <t>210 - PORTO D'ASCOLI</t>
  </si>
  <si>
    <t>FIL. PORTO D'ASCOLI</t>
  </si>
  <si>
    <t>PORTO D'ASCOLI</t>
  </si>
  <si>
    <t>Via del Lavoro 21, Centobuchi, Monteprandone (AP)</t>
  </si>
  <si>
    <t>13:00-14:00</t>
  </si>
  <si>
    <t>052 - GORGONZOLA</t>
  </si>
  <si>
    <t>GORGONZOLA M3 e M7</t>
  </si>
  <si>
    <t>GORGONZOLA</t>
  </si>
  <si>
    <t>Incrocio SP13 SS11, Gorgonzola MI</t>
  </si>
  <si>
    <t>108 - PALERMO</t>
  </si>
  <si>
    <t>8245</t>
  </si>
  <si>
    <t>Viale La Malfa Ugo 177, Palermo</t>
  </si>
  <si>
    <t>169 - BERGAMO</t>
  </si>
  <si>
    <t>FIL. BERGAMO</t>
  </si>
  <si>
    <t>Via del Tricolore, Bergamo</t>
  </si>
  <si>
    <t>10:00-11:30</t>
  </si>
  <si>
    <t>194 - BERGAMO</t>
  </si>
  <si>
    <t>1354</t>
  </si>
  <si>
    <t>Via Guido Galimberti 5, Bergamo</t>
  </si>
  <si>
    <t>053 - PALERMO</t>
  </si>
  <si>
    <t>8226</t>
  </si>
  <si>
    <t>Via Pirri Rocco 26, Palermo</t>
  </si>
  <si>
    <t>066 - COMO</t>
  </si>
  <si>
    <t>3349</t>
  </si>
  <si>
    <t>COMO</t>
  </si>
  <si>
    <t>Via Marco Enrico Bossi 3, Como</t>
  </si>
  <si>
    <t>128 - TERAMO</t>
  </si>
  <si>
    <t>11555</t>
  </si>
  <si>
    <t>ABRUZZO</t>
  </si>
  <si>
    <t>TERAMO</t>
  </si>
  <si>
    <t>Via San Benedetto in Chartulis 4, Teramo</t>
  </si>
  <si>
    <t>156 - SONDRIO</t>
  </si>
  <si>
    <t>11362</t>
  </si>
  <si>
    <t>SONDRIO</t>
  </si>
  <si>
    <t>Via dell'Industria 1, Sondrio</t>
  </si>
  <si>
    <t>11:30-13:00</t>
  </si>
  <si>
    <t>008 - CALTANISSETTA</t>
  </si>
  <si>
    <t>2472</t>
  </si>
  <si>
    <t>CALTANISSETTA</t>
  </si>
  <si>
    <t>Via Leone Xiii 12, Caltanissetta</t>
  </si>
  <si>
    <t>071 - VARESE</t>
  </si>
  <si>
    <t>12968</t>
  </si>
  <si>
    <t>VARESE</t>
  </si>
  <si>
    <t>Viale Belforte 178, Varese</t>
  </si>
  <si>
    <t>089 - AVEZZANO</t>
  </si>
  <si>
    <t>5353</t>
  </si>
  <si>
    <t>AVEZZANO</t>
  </si>
  <si>
    <t>Via Cavaliere di Vittorio Veneto 60, Avezzano</t>
  </si>
  <si>
    <t>090 - L'AQUILA</t>
  </si>
  <si>
    <t>5420</t>
  </si>
  <si>
    <t>L'AQUILA</t>
  </si>
  <si>
    <t>Strada Statale 17 Ovest km 31, L'Aquila</t>
  </si>
  <si>
    <t>151 - GALLARATE</t>
  </si>
  <si>
    <t>12886</t>
  </si>
  <si>
    <t>GALLARATE</t>
  </si>
  <si>
    <t>Via Amerigo Vespucci 9, Gallarate</t>
  </si>
  <si>
    <t>214 - COMO</t>
  </si>
  <si>
    <t>FIL. COMO</t>
  </si>
  <si>
    <t>Via dell'Artigianato 41, Como</t>
  </si>
  <si>
    <t>240 - VARESE</t>
  </si>
  <si>
    <t>FIL. VARESE</t>
  </si>
  <si>
    <t>Via Adua 14, Varese</t>
  </si>
  <si>
    <t>012 - MILANO</t>
  </si>
  <si>
    <t>6972</t>
  </si>
  <si>
    <t>MILANO</t>
  </si>
  <si>
    <t>Piazza Vesuvio 6, Milano</t>
  </si>
  <si>
    <t>11:00-16:00</t>
  </si>
  <si>
    <t>036 - PESCARA</t>
  </si>
  <si>
    <t>8949</t>
  </si>
  <si>
    <t>PESCARA</t>
  </si>
  <si>
    <t>Via Potenza 7, Pescara</t>
  </si>
  <si>
    <t>054 - CHIETI</t>
  </si>
  <si>
    <t>3160</t>
  </si>
  <si>
    <t>CHIETI</t>
  </si>
  <si>
    <t>Via Pescara 221, Chieti</t>
  </si>
  <si>
    <t>078 - RAGUSA</t>
  </si>
  <si>
    <t>9562</t>
  </si>
  <si>
    <t>RAGUSA</t>
  </si>
  <si>
    <t>Via Ercolano 7, Ragusa</t>
  </si>
  <si>
    <t>177 - PESCARA</t>
  </si>
  <si>
    <t>FIL. PESCARA</t>
  </si>
  <si>
    <t>Via Nazionale 48, Pescara</t>
  </si>
  <si>
    <t>12:00-13:30</t>
  </si>
  <si>
    <t>195 - LEGNANO</t>
  </si>
  <si>
    <t>6838</t>
  </si>
  <si>
    <t>LEGNANO</t>
  </si>
  <si>
    <t>Via XX Settembre 134, Legnano</t>
  </si>
  <si>
    <t>203 - FAVARA</t>
  </si>
  <si>
    <t>14293</t>
  </si>
  <si>
    <t>FAVARA</t>
  </si>
  <si>
    <t>Contrada San Benedetto Snc, Favara</t>
  </si>
  <si>
    <t>12:00-14:00</t>
  </si>
  <si>
    <t>002 - VIDIGULFO</t>
  </si>
  <si>
    <t>VIDIGULFO A e B</t>
  </si>
  <si>
    <t>VIDIGULFO</t>
  </si>
  <si>
    <t>Via delle Industrie 3, Vidigulfo PV</t>
  </si>
  <si>
    <t>08:30-16:00</t>
  </si>
  <si>
    <t>062 - PESCARA</t>
  </si>
  <si>
    <t>8956</t>
  </si>
  <si>
    <t>Via Alessandro Volta 12, Pescara</t>
  </si>
  <si>
    <t>109 - SIRACUSA</t>
  </si>
  <si>
    <t>11293</t>
  </si>
  <si>
    <t>SIRACUSA</t>
  </si>
  <si>
    <t>Viale Santa Panagia 129, Siracusa</t>
  </si>
  <si>
    <t>08:30-12:30</t>
  </si>
  <si>
    <t>138 - CARPI</t>
  </si>
  <si>
    <t>7089</t>
  </si>
  <si>
    <t>EMILIA ROMAGNA</t>
  </si>
  <si>
    <t>CARPI</t>
  </si>
  <si>
    <t>Via Cesare Battisti 3, Carpi</t>
  </si>
  <si>
    <t>10:30-12:00</t>
  </si>
  <si>
    <t>141 - MODENA</t>
  </si>
  <si>
    <t>7151</t>
  </si>
  <si>
    <t>MODENA</t>
  </si>
  <si>
    <t>Via delle Nazioni 125, Modena</t>
  </si>
  <si>
    <t>155 - PAVIA</t>
  </si>
  <si>
    <t>8506</t>
  </si>
  <si>
    <t>PAVIA</t>
  </si>
  <si>
    <t>Via Brambilla 1, Pavia</t>
  </si>
  <si>
    <t>175 - MODENA</t>
  </si>
  <si>
    <t>FIL. MODENA</t>
  </si>
  <si>
    <t>Via Gabriele D'Annunzio 190, Modena</t>
  </si>
  <si>
    <t>228 - PAVIA</t>
  </si>
  <si>
    <t>FIL. PAVIA</t>
  </si>
  <si>
    <t>Via della Meccanica 4, Pavia</t>
  </si>
  <si>
    <t>015 - landriano</t>
  </si>
  <si>
    <t>HUB NORD LANDRIANO</t>
  </si>
  <si>
    <t>landriano</t>
  </si>
  <si>
    <t>Via Privata Paolo Baffi, Landriano PV</t>
  </si>
  <si>
    <t>070 - PESCHIERA BORROMEO</t>
  </si>
  <si>
    <t>7001</t>
  </si>
  <si>
    <t>PESCHIERA BORROMEO</t>
  </si>
  <si>
    <t>Via Archimede 2, Peschiera Borromeo</t>
  </si>
  <si>
    <t>14:30-17:30</t>
  </si>
  <si>
    <t>094 - PARMA</t>
  </si>
  <si>
    <t>15716</t>
  </si>
  <si>
    <t>PARMA</t>
  </si>
  <si>
    <t>Strada Pastrengo 1, Parma</t>
  </si>
  <si>
    <t>11:30-16:00</t>
  </si>
  <si>
    <t>187 - REGGIO NELL'EMILIA</t>
  </si>
  <si>
    <t>9908</t>
  </si>
  <si>
    <t>REGGIO NELL'EMILIA</t>
  </si>
  <si>
    <t>Via Piccard 14, Reggio Emilia</t>
  </si>
  <si>
    <t>227 - PARMA</t>
  </si>
  <si>
    <t>FIL. PARMA</t>
  </si>
  <si>
    <t>Via Alfredo Veroni 27/A, Parma</t>
  </si>
  <si>
    <t>233 - REGGIO  EMILIA</t>
  </si>
  <si>
    <t>FIL. REGGIO EMILIA</t>
  </si>
  <si>
    <t>REGGIO  emilia</t>
  </si>
  <si>
    <t>Via Natta 6, Reggio Emilia</t>
  </si>
  <si>
    <t>031 - PIACENZA</t>
  </si>
  <si>
    <t>PIACENZA HUB CASTEL SAN GIOVANNI</t>
  </si>
  <si>
    <t>piacenza</t>
  </si>
  <si>
    <t>Via della Cascinetta snc, Piacenza</t>
  </si>
  <si>
    <t>08:30-12:00</t>
  </si>
  <si>
    <t>067 - LODI</t>
  </si>
  <si>
    <t>6040</t>
  </si>
  <si>
    <t>LODI</t>
  </si>
  <si>
    <t>Via Giuseppe Fascetti 1, Lodi</t>
  </si>
  <si>
    <t>125 - VIGNATE</t>
  </si>
  <si>
    <t>VIGNATE</t>
  </si>
  <si>
    <t>SP161 111, Vignate MI</t>
  </si>
  <si>
    <t>139 - FERRARA</t>
  </si>
  <si>
    <t>4311</t>
  </si>
  <si>
    <t>FERRARA</t>
  </si>
  <si>
    <t>Via Felisatti 22, Ferrara</t>
  </si>
  <si>
    <t>184 - MELZO</t>
  </si>
  <si>
    <t>MELZO</t>
  </si>
  <si>
    <t>Via A. Erba 15, Melzo</t>
  </si>
  <si>
    <t>016 - SAN GIORGIO DI PIANO</t>
  </si>
  <si>
    <t>BOLOGNA 13.12</t>
  </si>
  <si>
    <t>SAN GIORGIO DI PIANO</t>
  </si>
  <si>
    <t>Interporto di Bologna, Comparto 13.12, San Giorgio di Piano (BO)</t>
  </si>
  <si>
    <t>10:00-15:00</t>
  </si>
  <si>
    <t>126 - BENTIVOGLIO</t>
  </si>
  <si>
    <t>BOLOGNA 13.11</t>
  </si>
  <si>
    <t>BENTIVOGLIO</t>
  </si>
  <si>
    <t>Interporto di Bologna, Deposito 13.11, Bentivoglio (BO)</t>
  </si>
  <si>
    <t>174 - VIGNATE</t>
  </si>
  <si>
    <t>FIL. MILANO BANCARIO</t>
  </si>
  <si>
    <t xml:space="preserve">VIGNATE </t>
  </si>
  <si>
    <t>Via Monzese 46, Vignate</t>
  </si>
  <si>
    <t>197 - SEGRATE</t>
  </si>
  <si>
    <t>7043</t>
  </si>
  <si>
    <t>SEGRATE</t>
  </si>
  <si>
    <t>Via Buozzi 13, Segrate</t>
  </si>
  <si>
    <t>216 - FERRARA</t>
  </si>
  <si>
    <t>FIL. FERRARA</t>
  </si>
  <si>
    <t>Via Giovanni Calvino 15, Ferrara</t>
  </si>
  <si>
    <t>135 - BOLOGNA</t>
  </si>
  <si>
    <t>1722</t>
  </si>
  <si>
    <t>BOLOGNA</t>
  </si>
  <si>
    <t>Via Amatore Sciesa 20/A, Bologna</t>
  </si>
  <si>
    <t>136 - BOLOGNA</t>
  </si>
  <si>
    <t>1696</t>
  </si>
  <si>
    <t>Via Antonio Canova 23, Bologna</t>
  </si>
  <si>
    <t>137 - BOLOGNA</t>
  </si>
  <si>
    <t>1732</t>
  </si>
  <si>
    <t>Via Francesco Zanardi 28/6, Bologna</t>
  </si>
  <si>
    <t>004 - MILANO</t>
  </si>
  <si>
    <t>6885</t>
  </si>
  <si>
    <t>Via Cordusio 4, Milano</t>
  </si>
  <si>
    <t>11:00-18:00</t>
  </si>
  <si>
    <t>129 - POTENZA</t>
  </si>
  <si>
    <t>300671</t>
  </si>
  <si>
    <t>BASILICATA</t>
  </si>
  <si>
    <t>POTENZA</t>
  </si>
  <si>
    <t>Via Grippo Pasquale Snc - Edificio Mensa, Potenza</t>
  </si>
  <si>
    <t>10:00-13:00</t>
  </si>
  <si>
    <t>023 - MILANO</t>
  </si>
  <si>
    <t>6938</t>
  </si>
  <si>
    <t>Via Plezzo 32, Milano</t>
  </si>
  <si>
    <t>11:00-15:30</t>
  </si>
  <si>
    <t>026 - CAGLIARI</t>
  </si>
  <si>
    <t>2367</t>
  </si>
  <si>
    <t>SARDEGNA</t>
  </si>
  <si>
    <t>CAGLIARI</t>
  </si>
  <si>
    <t>Via Brenta 16, Cagliari</t>
  </si>
  <si>
    <t>103 - MILANO</t>
  </si>
  <si>
    <t>6937</t>
  </si>
  <si>
    <t>Via Pindaro 29, Milano</t>
  </si>
  <si>
    <t>104 - MILANO</t>
  </si>
  <si>
    <t>29688</t>
  </si>
  <si>
    <t>Via Vincenzo Lancetti 46, Milano</t>
  </si>
  <si>
    <t>163 - ELMAS</t>
  </si>
  <si>
    <t>2398</t>
  </si>
  <si>
    <t>ELMAS</t>
  </si>
  <si>
    <t>Via Caduti di Nassiriya, Elmas (CA)</t>
  </si>
  <si>
    <t>15:00-16:30</t>
  </si>
  <si>
    <t>069 - MILANO</t>
  </si>
  <si>
    <t>6863</t>
  </si>
  <si>
    <t>Via Cristina Belgioioso 165, Milano</t>
  </si>
  <si>
    <t>14:30-18:00</t>
  </si>
  <si>
    <t>073 - CAMPOBASSO</t>
  </si>
  <si>
    <t>2521</t>
  </si>
  <si>
    <t>MOLISE</t>
  </si>
  <si>
    <t>CAMPOBASSO</t>
  </si>
  <si>
    <t>Via San Giovanni 55, Campobasso</t>
  </si>
  <si>
    <t>074 - ISERNIA</t>
  </si>
  <si>
    <t>5308</t>
  </si>
  <si>
    <t>ISERNIA</t>
  </si>
  <si>
    <t>Via Xxiv Maggio 243, Isernia</t>
  </si>
  <si>
    <t>076 - SASSARI</t>
  </si>
  <si>
    <t>11047</t>
  </si>
  <si>
    <t>SASSARI</t>
  </si>
  <si>
    <t>Via XXV Aprile, Sassari</t>
  </si>
  <si>
    <t>11:00-13:30</t>
  </si>
  <si>
    <t>154 - MILANO</t>
  </si>
  <si>
    <t>29687</t>
  </si>
  <si>
    <t>Via Val Formazza 11, Milano</t>
  </si>
  <si>
    <t>196 - MILANO</t>
  </si>
  <si>
    <t>15323</t>
  </si>
  <si>
    <t>Via Gargano 9, Milano</t>
  </si>
  <si>
    <t>09:00-10:00</t>
  </si>
  <si>
    <t>235 - SASSARI</t>
  </si>
  <si>
    <t>FIL. SASSARI</t>
  </si>
  <si>
    <t>Strada 39, Zona Industriale Predda Niedda Sud, Sassari</t>
  </si>
  <si>
    <t>045 - MONZA</t>
  </si>
  <si>
    <t>7285</t>
  </si>
  <si>
    <t>MONZA</t>
  </si>
  <si>
    <t>Corso Milano 56, Monza</t>
  </si>
  <si>
    <t>130 - AVELLINO</t>
  </si>
  <si>
    <t>796</t>
  </si>
  <si>
    <t>CAMPANIA</t>
  </si>
  <si>
    <t>AVELLINO</t>
  </si>
  <si>
    <t>Via Pianodardine Snc, Avellino</t>
  </si>
  <si>
    <t>131 - BENEVENTO</t>
  </si>
  <si>
    <t>1228</t>
  </si>
  <si>
    <t>BENEVENTO</t>
  </si>
  <si>
    <t>Via Battaglia Di Benevento 1, Benevento</t>
  </si>
  <si>
    <t>223 - MONZA</t>
  </si>
  <si>
    <t>FIL. MONZA</t>
  </si>
  <si>
    <t>Via Lavoratori Autobianchi 1, Monza</t>
  </si>
  <si>
    <t>13:30-14:30</t>
  </si>
  <si>
    <t>056 - AVELLINO</t>
  </si>
  <si>
    <t>786</t>
  </si>
  <si>
    <t>Via De Sanctis Francesco 3, Avellino</t>
  </si>
  <si>
    <t>044 - BOLOGNA</t>
  </si>
  <si>
    <t>1733</t>
  </si>
  <si>
    <t>Via Francesco Zanardi 32, Bologna</t>
  </si>
  <si>
    <t>11:00-14:00</t>
  </si>
  <si>
    <t>057 - CASERTA</t>
  </si>
  <si>
    <t>2693</t>
  </si>
  <si>
    <t>CASERTA</t>
  </si>
  <si>
    <t>Via Del Redentore 27, Caserta</t>
  </si>
  <si>
    <t>09:30-13:30</t>
  </si>
  <si>
    <t>117 - MADDALONI</t>
  </si>
  <si>
    <t>FIL. NAPOLI 1</t>
  </si>
  <si>
    <t>MADDALONI</t>
  </si>
  <si>
    <t>INTERPORTO MARCIANISE - EDIFICIO LOTTO 14.4, Maddaloni</t>
  </si>
  <si>
    <t>170 - BOLOGNA</t>
  </si>
  <si>
    <t>FIL. BOLOGNA</t>
  </si>
  <si>
    <t>Interporto di Bologna, Comparto 13.5, Bentivoglio (BO)</t>
  </si>
  <si>
    <t>172 - MILANO</t>
  </si>
  <si>
    <t>FIL. MILANO 1</t>
  </si>
  <si>
    <t>Via Fantoli 30, Milano</t>
  </si>
  <si>
    <t>173 - MILANO</t>
  </si>
  <si>
    <t>FIL. MILANO 2</t>
  </si>
  <si>
    <t>Via delle Industrie 9, Milano</t>
  </si>
  <si>
    <t>221 - MILANO</t>
  </si>
  <si>
    <t>FIL. MILANO 3</t>
  </si>
  <si>
    <t>Via delle Azalee 6/A, Milano</t>
  </si>
  <si>
    <t>222 - MILANO</t>
  </si>
  <si>
    <t>FIL. MILANO 4</t>
  </si>
  <si>
    <t>Via dei Rovedi, Milano</t>
  </si>
  <si>
    <t>030 - BOLOGNA</t>
  </si>
  <si>
    <t>BOLOGNA HUB 13.4</t>
  </si>
  <si>
    <t>Viale della Logistica snc, Bologna</t>
  </si>
  <si>
    <t>116 - BOLOGNA</t>
  </si>
  <si>
    <t>BOLOGNA HUB 13.10</t>
  </si>
  <si>
    <t>Interporto di Bologna, Blocco 13.10, Bentivoglio (BO)</t>
  </si>
  <si>
    <t>123 - NAPOLI</t>
  </si>
  <si>
    <t>FIL NAPOLI 3</t>
  </si>
  <si>
    <t>NAPOLI</t>
  </si>
  <si>
    <t>Ce Naples Dc 3 C/O Interporto Sud Europa  Via Boscolagno C/O Interporto Sud Europa – Int.13.5 - 81024 Maddaloni, Napoli</t>
  </si>
  <si>
    <t>124 - NAPOLI</t>
  </si>
  <si>
    <t>FIL NAPOLI 4</t>
  </si>
  <si>
    <t>160 - NOVARA</t>
  </si>
  <si>
    <t>7669</t>
  </si>
  <si>
    <t>PIEMONTE</t>
  </si>
  <si>
    <t>NOVARA</t>
  </si>
  <si>
    <t>Via Monte Rosa 101, Novara</t>
  </si>
  <si>
    <t>212 - BOLOGNA</t>
  </si>
  <si>
    <t>FIL. BOLOGNA NEW</t>
  </si>
  <si>
    <t>Interporto di Bologna, Comparto 4.3, Bentivoglio (BO)</t>
  </si>
  <si>
    <t>213 - BOLOGNA</t>
  </si>
  <si>
    <t>BOLOGNA BANCHE</t>
  </si>
  <si>
    <t>Via Verde 6, Bologna</t>
  </si>
  <si>
    <t>224 - NOVARA</t>
  </si>
  <si>
    <t>FIL. NOVARA</t>
  </si>
  <si>
    <t>Via Guido Rossa 2, Veveri, Novara</t>
  </si>
  <si>
    <t>241 - MILANO</t>
  </si>
  <si>
    <t>MILANO MALPENSA II</t>
  </si>
  <si>
    <t>Avioport Logistics Park, Via del Gregge 100, Lonate Pozzolo</t>
  </si>
  <si>
    <t>242 - MILANO</t>
  </si>
  <si>
    <t>MILANO GATEWAY</t>
  </si>
  <si>
    <t>Via Bassano del Grappa, Milano</t>
  </si>
  <si>
    <t>09:00-10:30</t>
  </si>
  <si>
    <t>032 - CASTEL SAN GIOVANNI</t>
  </si>
  <si>
    <t>CASTEL SAN GIOVANNI Y2</t>
  </si>
  <si>
    <t>CASTEL SAN GIOVANNI</t>
  </si>
  <si>
    <t>Via del Colombarone, Castel San Giovanni (PC)</t>
  </si>
  <si>
    <t>039 - TORINO</t>
  </si>
  <si>
    <t>11958</t>
  </si>
  <si>
    <t>TORINO</t>
  </si>
  <si>
    <t>Via Vittorio Alfieri 10, Torino</t>
  </si>
  <si>
    <t>050 - NAPOLI</t>
  </si>
  <si>
    <t>NAPOLI HUB</t>
  </si>
  <si>
    <t>09:00-15:00</t>
  </si>
  <si>
    <t>118 - PIACENZA</t>
  </si>
  <si>
    <t>PIACENZA HUB BULKY</t>
  </si>
  <si>
    <t>Strada Dogana Po 2, Piacenza</t>
  </si>
  <si>
    <t>15:00-17:00</t>
  </si>
  <si>
    <t>186 - NOLA</t>
  </si>
  <si>
    <t>301299</t>
  </si>
  <si>
    <t>NOLA</t>
  </si>
  <si>
    <t>Via Boscofangone Snc, Nola</t>
  </si>
  <si>
    <t>201 - BIELLA</t>
  </si>
  <si>
    <t>1589</t>
  </si>
  <si>
    <t>BIELLA</t>
  </si>
  <si>
    <t>Strada Campagne' 14, Biella</t>
  </si>
  <si>
    <t>211 - BIELLA</t>
  </si>
  <si>
    <t>FIL. BIELLA</t>
  </si>
  <si>
    <t>Strada Statale 230 48, Biella</t>
  </si>
  <si>
    <t>075 - ALESSANDRIA</t>
  </si>
  <si>
    <t>103</t>
  </si>
  <si>
    <t>ALESSANDRIA</t>
  </si>
  <si>
    <t>Piazza Eugenio Curiel 8, Alessandria</t>
  </si>
  <si>
    <t>09:00-11:30</t>
  </si>
  <si>
    <t>093 - SALERNO</t>
  </si>
  <si>
    <t>10889</t>
  </si>
  <si>
    <t>SALERNO</t>
  </si>
  <si>
    <t>Via Paradiso Di Pastena 5, Salerno</t>
  </si>
  <si>
    <t>14:30-18:30</t>
  </si>
  <si>
    <t>121 - SALERNO</t>
  </si>
  <si>
    <t>FIL SALERNO</t>
  </si>
  <si>
    <t>salerno</t>
  </si>
  <si>
    <t>VIA PACINOTTI - LOC. SCONTRAFATA, Salerno</t>
  </si>
  <si>
    <t>09:30-13:00</t>
  </si>
  <si>
    <t>207 - ALESSANDRIA</t>
  </si>
  <si>
    <t>FIL. ALESSANDRIA</t>
  </si>
  <si>
    <t>Via Luigi Einaudi 47, Alessandria</t>
  </si>
  <si>
    <t>12:00-13:00</t>
  </si>
  <si>
    <t>208 - ASTI</t>
  </si>
  <si>
    <t>FIL. ASTI</t>
  </si>
  <si>
    <t>ASTI</t>
  </si>
  <si>
    <t>Via Circonvallazione 30, Asti</t>
  </si>
  <si>
    <t>105 - TORINO</t>
  </si>
  <si>
    <t>11986</t>
  </si>
  <si>
    <t>Corso Grosseto 425, Torino</t>
  </si>
  <si>
    <t>106 - TORINO</t>
  </si>
  <si>
    <t>11991</t>
  </si>
  <si>
    <t>Via Luigi Ferdinando Marsigli 22, Torino</t>
  </si>
  <si>
    <t>11:00-13:00</t>
  </si>
  <si>
    <t>159 - MONCALIERI</t>
  </si>
  <si>
    <t>11831</t>
  </si>
  <si>
    <t>MONCALIERI</t>
  </si>
  <si>
    <t>Via Vittime di Bologna 22, Moncalieri</t>
  </si>
  <si>
    <t>142 - RAVENNA</t>
  </si>
  <si>
    <t>9630</t>
  </si>
  <si>
    <t>RAVENNA</t>
  </si>
  <si>
    <t>Via Antonio Meucci 73, Ravenna</t>
  </si>
  <si>
    <t>217 - FORLI'</t>
  </si>
  <si>
    <t>FIL. FORLI'</t>
  </si>
  <si>
    <t>FORLI'</t>
  </si>
  <si>
    <t>Via del Commercio 22, Forlì</t>
  </si>
  <si>
    <t>232 - RAVENNA</t>
  </si>
  <si>
    <t>FIL. RAVENNA</t>
  </si>
  <si>
    <t>Via Romagnoli 3, Ravenna</t>
  </si>
  <si>
    <t>024 - TORINO</t>
  </si>
  <si>
    <t>12017</t>
  </si>
  <si>
    <t>Via Reiss Romoli 44/11, Torino</t>
  </si>
  <si>
    <t>077 - MESSINA</t>
  </si>
  <si>
    <t>6659</t>
  </si>
  <si>
    <t>MESSINA</t>
  </si>
  <si>
    <t>Strada Statale 114 Km. 5,200 Snc, Messina</t>
  </si>
  <si>
    <t>107 - CATANIA</t>
  </si>
  <si>
    <t>2889</t>
  </si>
  <si>
    <t>CATANIA</t>
  </si>
  <si>
    <t>Via Ferrari Enzo 30, Catania</t>
  </si>
  <si>
    <t>140 - FORLI'</t>
  </si>
  <si>
    <t>4682</t>
  </si>
  <si>
    <t>Via Bertini 11, Forlì</t>
  </si>
  <si>
    <t>150 - LA SPEZIA</t>
  </si>
  <si>
    <t>15049</t>
  </si>
  <si>
    <t>LIGURIA</t>
  </si>
  <si>
    <t>LA SPEZIA</t>
  </si>
  <si>
    <t>Via Francesco Crispi 173, La Spezia</t>
  </si>
  <si>
    <t>181 - TORINO</t>
  </si>
  <si>
    <t>FIL. TORINO 1</t>
  </si>
  <si>
    <t>Strada Cebrosa 3, Torino</t>
  </si>
  <si>
    <t>188 - RIMINI</t>
  </si>
  <si>
    <t>10077</t>
  </si>
  <si>
    <t>RIMINI</t>
  </si>
  <si>
    <t>Via Coriano 58, Rimini</t>
  </si>
  <si>
    <t>007 - GENOVA</t>
  </si>
  <si>
    <t>4920</t>
  </si>
  <si>
    <t>GENOVA</t>
  </si>
  <si>
    <t>Via Dante Alighieri 4, Genova</t>
  </si>
  <si>
    <t>13:00-17:30</t>
  </si>
  <si>
    <t>025 - TORINO</t>
  </si>
  <si>
    <t>12028</t>
  </si>
  <si>
    <t>Corso Tazzoli 235/4, Torino</t>
  </si>
  <si>
    <t>083 - GENOVA</t>
  </si>
  <si>
    <t>4980</t>
  </si>
  <si>
    <t>Via Spalato 25, Genova</t>
  </si>
  <si>
    <t>09:30-11:30</t>
  </si>
  <si>
    <t>088 - CATANIA</t>
  </si>
  <si>
    <t>2890</t>
  </si>
  <si>
    <t>Via Etnea - Pal. Poste 215, Catania</t>
  </si>
  <si>
    <t>122 - TORINO</t>
  </si>
  <si>
    <t>FIL. TORINO 2</t>
  </si>
  <si>
    <t>Viale Matteotti 99, Torino</t>
  </si>
  <si>
    <t>215 - CUNEO</t>
  </si>
  <si>
    <t>FIL. CUNEO</t>
  </si>
  <si>
    <t>CUNEO</t>
  </si>
  <si>
    <t>Via Raffaello 2, Cuneo</t>
  </si>
  <si>
    <t>022 - GENOVA</t>
  </si>
  <si>
    <t>15026</t>
  </si>
  <si>
    <t>Via Pionieri e Aviatori d'Italia 111, Genova</t>
  </si>
  <si>
    <t>158 - CUNEO</t>
  </si>
  <si>
    <t>3981</t>
  </si>
  <si>
    <t>Via degli Artigiani 2, Cuneo</t>
  </si>
  <si>
    <t>218 - GENOVA</t>
  </si>
  <si>
    <t>FIL. GENOVA</t>
  </si>
  <si>
    <t>Viale Europa 42 Casella 16015, Genova</t>
  </si>
  <si>
    <t>244 - GENOVA</t>
  </si>
  <si>
    <t>037 - GENOVA</t>
  </si>
  <si>
    <t>4951</t>
  </si>
  <si>
    <t>Piazza del Monastero 4, Genova</t>
  </si>
  <si>
    <t>064 - SAVONA</t>
  </si>
  <si>
    <t>11139</t>
  </si>
  <si>
    <t>SAVONA</t>
  </si>
  <si>
    <t>Piazza Aldo Moro 6, Savona</t>
  </si>
  <si>
    <t>14:30-17:00</t>
  </si>
  <si>
    <t>081 - POMEZIA</t>
  </si>
  <si>
    <t>POMEZIA</t>
  </si>
  <si>
    <t>Via Campobello 43, Pomezia</t>
  </si>
  <si>
    <t>144 - FROSINONE</t>
  </si>
  <si>
    <t>4782</t>
  </si>
  <si>
    <t>FROSINONE</t>
  </si>
  <si>
    <t>Via Don Minzoni 16, Frosinone</t>
  </si>
  <si>
    <t>149 - IMPERIA</t>
  </si>
  <si>
    <t>5227</t>
  </si>
  <si>
    <t>IMPERIA</t>
  </si>
  <si>
    <t>Via Spontone 39, Imperia</t>
  </si>
  <si>
    <t>153 - MILANO</t>
  </si>
  <si>
    <t>6911</t>
  </si>
  <si>
    <t>Piazzale Lugano 15, Milano</t>
  </si>
  <si>
    <t>189 - LATINA</t>
  </si>
  <si>
    <t>5643</t>
  </si>
  <si>
    <t>LATINA</t>
  </si>
  <si>
    <t>Via Rossetti 28, Latina</t>
  </si>
  <si>
    <t>033 - POMEZIA</t>
  </si>
  <si>
    <t>Via delle Monachelle, Pomezia</t>
  </si>
  <si>
    <t>060 - MILANO</t>
  </si>
  <si>
    <t>6896</t>
  </si>
  <si>
    <t>Via Guglielmo da Velate 11, Milano</t>
  </si>
  <si>
    <t>068 - MILANO</t>
  </si>
  <si>
    <t>6901</t>
  </si>
  <si>
    <t>Via Benozzo Gozzoli 51, Milano</t>
  </si>
  <si>
    <t>13:00-15:30</t>
  </si>
  <si>
    <t>234 - ROMA</t>
  </si>
  <si>
    <t>FIL. ROMA 2</t>
  </si>
  <si>
    <t>Via Laurentina km 23,500, Roma</t>
  </si>
  <si>
    <t>051 - ROMA</t>
  </si>
  <si>
    <t>ROMA HUB PASSO CORESE</t>
  </si>
  <si>
    <t>Viale della Logistica, Santa Palomba, Roma</t>
  </si>
  <si>
    <t>12:00-18:00</t>
  </si>
  <si>
    <t>119 - ROMA</t>
  </si>
  <si>
    <t>ROMA HUB BULKY</t>
  </si>
  <si>
    <t>Via della Meccanica, Santa Palomba, Roma</t>
  </si>
  <si>
    <t>092 - NAPOLI</t>
  </si>
  <si>
    <t>7493</t>
  </si>
  <si>
    <t>Via Montagna Spaccata 2, Napoli</t>
  </si>
  <si>
    <t>10:00-14:00</t>
  </si>
  <si>
    <t>133 - NAPOLI</t>
  </si>
  <si>
    <t>7431</t>
  </si>
  <si>
    <t>Via Baku' 2, Napoli</t>
  </si>
  <si>
    <t>15:30-18:00</t>
  </si>
  <si>
    <t>017 - NAPOLI</t>
  </si>
  <si>
    <t>7456</t>
  </si>
  <si>
    <t>Piazza Matteotti Giacomo 2, Napoli</t>
  </si>
  <si>
    <t>096 - ROMA</t>
  </si>
  <si>
    <t>10326</t>
  </si>
  <si>
    <t>Via Terzilio Cardinali 11, Roma</t>
  </si>
  <si>
    <t>100 - ROMA</t>
  </si>
  <si>
    <t>10447</t>
  </si>
  <si>
    <t>Via Pieve di Cadore 34, Roma</t>
  </si>
  <si>
    <t>101 - ROMA</t>
  </si>
  <si>
    <t>10293</t>
  </si>
  <si>
    <t>Via degli Arcelli, Roma</t>
  </si>
  <si>
    <t>120 - ROMA</t>
  </si>
  <si>
    <t>FIL. ROMA 1</t>
  </si>
  <si>
    <t>Via Corcolle 12, Roma</t>
  </si>
  <si>
    <t>192 - ROMA</t>
  </si>
  <si>
    <t>300417</t>
  </si>
  <si>
    <t>Via Casilina 1674, Roma</t>
  </si>
  <si>
    <t>035 - ROMA</t>
  </si>
  <si>
    <t>10510</t>
  </si>
  <si>
    <t>Via di Tor Pagnotta 2, Roma</t>
  </si>
  <si>
    <t>043 - NAPOLI</t>
  </si>
  <si>
    <t>7447</t>
  </si>
  <si>
    <t>Via Ferraris Galileo Snc, Napoli</t>
  </si>
  <si>
    <t>082 - ROMA</t>
  </si>
  <si>
    <t>10440</t>
  </si>
  <si>
    <t>Viale Palmiro Togliatti 1500, Roma</t>
  </si>
  <si>
    <t>084 - ROMA</t>
  </si>
  <si>
    <t>10309</t>
  </si>
  <si>
    <t>Piazza Bologna 39, Roma</t>
  </si>
  <si>
    <t>134 - NAPOLI</t>
  </si>
  <si>
    <t>301473</t>
  </si>
  <si>
    <t>Via Ferraris Galileo 66/M, Napoli</t>
  </si>
  <si>
    <t>147 - ROMA</t>
  </si>
  <si>
    <t>10452</t>
  </si>
  <si>
    <t>Via di Portonaccio 39, Roma</t>
  </si>
  <si>
    <t>085 - ROMA</t>
  </si>
  <si>
    <t>10501</t>
  </si>
  <si>
    <t>Via Taranto 19, Roma</t>
  </si>
  <si>
    <t>098 - ROMA</t>
  </si>
  <si>
    <t>10407</t>
  </si>
  <si>
    <t>Via Marmorata 4, Roma</t>
  </si>
  <si>
    <t>102 - ROMA</t>
  </si>
  <si>
    <t>10352</t>
  </si>
  <si>
    <t>Via Dei Crociferi 23, Roma</t>
  </si>
  <si>
    <t>132 - NAPOLI</t>
  </si>
  <si>
    <t>7495</t>
  </si>
  <si>
    <t>Via Delle Repubbliche Marinare 475, Napoli</t>
  </si>
  <si>
    <t>097 - ROMA</t>
  </si>
  <si>
    <t>10369</t>
  </si>
  <si>
    <t>Viale Ferdinando Baldelli 37, Roma</t>
  </si>
  <si>
    <t>233 - REGGIO  emilia</t>
  </si>
  <si>
    <t>031 - piacenza</t>
  </si>
  <si>
    <t>118 - piacenza</t>
  </si>
  <si>
    <t>02/92/2026</t>
  </si>
  <si>
    <t>Settimana</t>
  </si>
  <si>
    <t>Totale preparati:</t>
  </si>
  <si>
    <t>08:30-13:30</t>
  </si>
  <si>
    <t>964</t>
  </si>
  <si>
    <t>970</t>
  </si>
  <si>
    <t>5749</t>
  </si>
  <si>
    <t>11441</t>
  </si>
  <si>
    <t>302772</t>
  </si>
  <si>
    <t>Totale preparati</t>
  </si>
  <si>
    <t>AED a cui è stata cambiata l'ora il 30/06/2026</t>
  </si>
  <si>
    <t>CALDERARA DI RENO</t>
  </si>
  <si>
    <t>Lonate Pozzolo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</si>
</sst>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0" x14ac:knownFonts="1">
    <font>
      <sz val="11"/>
      <color theme="1"/>
      <name val="Calibri"/>
      <family val="2"/>
      <charset val="1"/>
    </font>
    <font>
      <b/>
      <sz val="15"/>
      <color rgb="FF1F4E79"/>
      <name val="Arial"/>
      <family val="2"/>
    </font>
    <font>
      <sz val="10"/>
      <color rgb="FF595959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sz val="10"/>
      <name val="Arial"/>
      <family val="2"/>
      <charset val="1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6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8" fillId="0" borderId="1" xfId="0" applyFont="1" applyBorder="1"/>
    <xf numFmtId="164" fontId="4" fillId="0" borderId="1" xfId="0" applyNumberFormat="1" applyFont="1" applyBorder="1"/>
    <xf numFmtId="164" fontId="4" fillId="3" borderId="1" xfId="0" applyNumberFormat="1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0" fillId="3" borderId="0" xfId="0" applyFill="1"/>
    <xf numFmtId="0" fontId="4" fillId="3" borderId="0" xfId="0" applyFont="1" applyFill="1"/>
    <xf numFmtId="164" fontId="4" fillId="4" borderId="1" xfId="0" applyNumberFormat="1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4" borderId="0" xfId="0" applyFill="1"/>
    <xf numFmtId="165" fontId="4" fillId="0" borderId="1" xfId="0" applyNumberFormat="1" applyFont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4" fillId="5" borderId="0" xfId="0" applyFont="1" applyFill="1"/>
    <xf numFmtId="0" fontId="0" fillId="5" borderId="0" xfId="0" applyFill="1"/>
    <xf numFmtId="0" fontId="6" fillId="2" borderId="1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4" fillId="0" borderId="5" xfId="0" applyFont="1" applyBorder="1"/>
    <xf numFmtId="0" fontId="8" fillId="0" borderId="5" xfId="0" applyFont="1" applyBorder="1"/>
    <xf numFmtId="14" fontId="4" fillId="0" borderId="4" xfId="0" applyNumberFormat="1" applyFont="1" applyBorder="1" applyAlignment="1">
      <alignment horizontal="right"/>
    </xf>
    <xf numFmtId="165" fontId="4" fillId="5" borderId="1" xfId="0" applyNumberFormat="1" applyFont="1" applyFill="1" applyBorder="1"/>
    <xf numFmtId="0" fontId="6" fillId="2" borderId="6" xfId="0" applyFont="1" applyFill="1" applyBorder="1"/>
    <xf numFmtId="0" fontId="4" fillId="0" borderId="4" xfId="0" applyFont="1" applyBorder="1"/>
    <xf numFmtId="164" fontId="4" fillId="6" borderId="1" xfId="0" applyNumberFormat="1" applyFont="1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0" xfId="0" applyFont="1" applyFill="1"/>
    <xf numFmtId="0" fontId="0" fillId="6" borderId="0" xfId="0" applyFill="1"/>
    <xf numFmtId="164" fontId="4" fillId="3" borderId="1" xfId="0" applyNumberFormat="1" applyFont="1" applyFill="1" applyBorder="1" applyAlignment="1">
      <alignment horizontal="right"/>
    </xf>
    <xf numFmtId="0" fontId="4" fillId="3" borderId="3" xfId="0" applyFont="1" applyFill="1" applyBorder="1"/>
    <xf numFmtId="0" fontId="4" fillId="3" borderId="1" xfId="0" applyFont="1" applyFill="1" applyBorder="1" applyAlignment="1">
      <alignment horizontal="left"/>
    </xf>
    <xf numFmtId="164" fontId="9" fillId="5" borderId="1" xfId="0" applyNumberFormat="1" applyFont="1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0" xfId="0" applyFont="1" applyFill="1"/>
    <xf numFmtId="164" fontId="4" fillId="7" borderId="1" xfId="0" applyNumberFormat="1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0" xfId="0" applyFont="1" applyFill="1"/>
    <xf numFmtId="0" fontId="0" fillId="7" borderId="0" xfId="0" applyFill="1"/>
    <xf numFmtId="164" fontId="4" fillId="8" borderId="1" xfId="0" applyNumberFormat="1" applyFont="1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8" borderId="0" xfId="0" applyFont="1" applyFill="1"/>
    <xf numFmtId="0" fontId="0" fillId="8" borderId="0" xfId="0" applyFill="1"/>
    <xf numFmtId="164" fontId="4" fillId="9" borderId="1" xfId="0" applyNumberFormat="1" applyFont="1" applyFill="1" applyBorder="1"/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9" borderId="0" xfId="0" applyFont="1" applyFill="1"/>
    <xf numFmtId="0" fontId="0" fillId="9" borderId="0" xfId="0" applyFill="1"/>
    <xf numFmtId="165" fontId="4" fillId="6" borderId="1" xfId="0" applyNumberFormat="1" applyFont="1" applyFill="1" applyBorder="1"/>
    <xf numFmtId="0" fontId="8" fillId="6" borderId="1" xfId="0" applyFont="1" applyFill="1" applyBorder="1"/>
    <xf numFmtId="0" fontId="8" fillId="9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7"/>
  <sheetViews>
    <sheetView showGridLines="0" topLeftCell="A10" zoomScaleNormal="100" workbookViewId="0">
      <selection activeCell="C33" sqref="C33"/>
    </sheetView>
  </sheetViews>
  <sheetFormatPr defaultColWidth="8.7109375" defaultRowHeight="15" x14ac:dyDescent="0.25"/>
  <cols>
    <col min="1" max="1" width="3" customWidth="1"/>
    <col min="2" max="2" width="26" customWidth="1"/>
    <col min="3" max="3" width="22.140625" customWidth="1"/>
    <col min="4" max="4" width="15" customWidth="1"/>
    <col min="5" max="6" width="13" customWidth="1"/>
  </cols>
  <sheetData>
    <row r="2" spans="2:6" ht="18" customHeight="1" x14ac:dyDescent="0.3">
      <c r="B2" s="1" t="s">
        <v>0</v>
      </c>
    </row>
    <row r="3" spans="2:6" ht="15" customHeight="1" x14ac:dyDescent="0.25">
      <c r="B3" s="2" t="s">
        <v>1</v>
      </c>
    </row>
    <row r="5" spans="2:6" ht="15" customHeight="1" x14ac:dyDescent="0.25">
      <c r="B5" s="3" t="s">
        <v>2</v>
      </c>
    </row>
    <row r="6" spans="2:6" ht="15" customHeight="1" x14ac:dyDescent="0.25">
      <c r="B6" s="4" t="s">
        <v>3</v>
      </c>
      <c r="C6" s="5">
        <f>SUM(Calendario!K2:K254)</f>
        <v>244</v>
      </c>
    </row>
    <row r="7" spans="2:6" ht="15" customHeight="1" x14ac:dyDescent="0.25">
      <c r="B7" s="4" t="s">
        <v>4</v>
      </c>
      <c r="C7" s="5">
        <f>SUM(Calendario!I2:I254)</f>
        <v>839</v>
      </c>
    </row>
    <row r="8" spans="2:6" ht="15" customHeight="1" x14ac:dyDescent="0.25">
      <c r="B8" s="4" t="s">
        <v>5</v>
      </c>
      <c r="C8" s="6">
        <f>MIN(Calendario!A2:A254)</f>
        <v>46230</v>
      </c>
    </row>
    <row r="9" spans="2:6" ht="15" customHeight="1" x14ac:dyDescent="0.25">
      <c r="B9" s="4" t="s">
        <v>6</v>
      </c>
      <c r="C9" s="6">
        <f>MAX(Calendario!A2:A254)</f>
        <v>46318</v>
      </c>
    </row>
    <row r="10" spans="2:6" ht="15" customHeight="1" x14ac:dyDescent="0.25">
      <c r="B10" s="4" t="s">
        <v>7</v>
      </c>
      <c r="C10" s="5">
        <f>SUMPRODUCT(1/COUNTIFS(Calendario!A2:A254,Calendario!A2:A254&amp;""))</f>
        <v>56.000000000000036</v>
      </c>
    </row>
    <row r="13" spans="2:6" ht="15" customHeight="1" x14ac:dyDescent="0.25">
      <c r="B13" s="3" t="s">
        <v>8</v>
      </c>
    </row>
    <row r="14" spans="2:6" ht="15" customHeight="1" x14ac:dyDescent="0.25">
      <c r="B14" s="7" t="s">
        <v>9</v>
      </c>
      <c r="C14" s="7" t="s">
        <v>10</v>
      </c>
      <c r="D14" s="7" t="s">
        <v>11</v>
      </c>
      <c r="E14" s="7" t="s">
        <v>12</v>
      </c>
      <c r="F14" s="7" t="s">
        <v>13</v>
      </c>
    </row>
    <row r="15" spans="2:6" ht="15" customHeight="1" x14ac:dyDescent="0.25">
      <c r="B15" s="4" t="s">
        <v>14</v>
      </c>
      <c r="C15" s="8">
        <f>SUMIFS(Calendario!K2:K254,Calendario!B2:B254,B15)</f>
        <v>8</v>
      </c>
      <c r="D15" s="8">
        <f>SUMIFS(Calendario!I2:I254,Calendario!B2:B254,B15)</f>
        <v>90</v>
      </c>
      <c r="E15" s="9">
        <f>_xlfn.MINIFS(Calendario!A2:A254,Calendario!B2:B254,B15)</f>
        <v>46230</v>
      </c>
      <c r="F15" s="9">
        <f>_xlfn.MAXIFS(Calendario!A2:A254,Calendario!B2:B254,B15)</f>
        <v>46233</v>
      </c>
    </row>
    <row r="16" spans="2:6" ht="15" customHeight="1" x14ac:dyDescent="0.25">
      <c r="B16" s="4" t="s">
        <v>15</v>
      </c>
      <c r="C16" s="8">
        <f>SUMIFS(Calendario!K2:K254,Calendario!B2:B254,B16)</f>
        <v>91</v>
      </c>
      <c r="D16" s="8">
        <f>SUMIFS(Calendario!I2:I254,Calendario!B2:B254,B16)</f>
        <v>305</v>
      </c>
      <c r="E16" s="9">
        <f>_xlfn.MINIFS(Calendario!A2:A254,Calendario!B2:B254,B16)</f>
        <v>46251</v>
      </c>
      <c r="F16" s="9">
        <f>_xlfn.MAXIFS(Calendario!A2:A254,Calendario!B2:B254,B16)</f>
        <v>46317</v>
      </c>
    </row>
    <row r="17" spans="2:6" ht="15" customHeight="1" x14ac:dyDescent="0.25">
      <c r="B17" s="4" t="s">
        <v>16</v>
      </c>
      <c r="C17" s="8">
        <f>SUMIFS(Calendario!K2:K254,Calendario!B2:B254,B17)</f>
        <v>103</v>
      </c>
      <c r="D17" s="8">
        <f>SUMIFS(Calendario!I2:I254,Calendario!B2:B254,B17)</f>
        <v>287</v>
      </c>
      <c r="E17" s="9">
        <f>_xlfn.MINIFS(Calendario!A2:A254,Calendario!B2:B254,B17)</f>
        <v>46238</v>
      </c>
      <c r="F17" s="9">
        <f>_xlfn.MAXIFS(Calendario!A2:A254,Calendario!B2:B254,B17)</f>
        <v>46318</v>
      </c>
    </row>
    <row r="18" spans="2:6" ht="15" customHeight="1" x14ac:dyDescent="0.25">
      <c r="B18" s="4" t="s">
        <v>17</v>
      </c>
      <c r="C18" s="8">
        <f>SUMIFS(Calendario!K2:K254,Calendario!B2:B254,B18)</f>
        <v>42</v>
      </c>
      <c r="D18" s="8">
        <f>SUMIFS(Calendario!I2:I254,Calendario!B2:B254,B18)</f>
        <v>157</v>
      </c>
      <c r="E18" s="9">
        <f>_xlfn.MINIFS(Calendario!A2:A254,Calendario!B2:B254,B18)</f>
        <v>46251</v>
      </c>
      <c r="F18" s="9">
        <f>_xlfn.MAXIFS(Calendario!A2:A254,Calendario!B2:B254,B18)</f>
        <v>46317</v>
      </c>
    </row>
    <row r="19" spans="2:6" ht="15" customHeight="1" x14ac:dyDescent="0.25">
      <c r="B19" s="5" t="s">
        <v>18</v>
      </c>
      <c r="C19" s="10">
        <f>SUM(C15:C18)</f>
        <v>244</v>
      </c>
      <c r="D19" s="10">
        <f>SUM(D15:D18)</f>
        <v>839</v>
      </c>
      <c r="E19" s="11"/>
      <c r="F19" s="11"/>
    </row>
    <row r="20" spans="2:6" ht="15" customHeight="1" x14ac:dyDescent="0.25">
      <c r="B20" s="12"/>
      <c r="C20" s="13"/>
      <c r="D20" s="13"/>
    </row>
    <row r="21" spans="2:6" ht="15" customHeight="1" x14ac:dyDescent="0.25">
      <c r="B21" s="12"/>
      <c r="C21" s="13"/>
      <c r="D21" s="13"/>
    </row>
    <row r="22" spans="2:6" ht="15" customHeight="1" x14ac:dyDescent="0.25">
      <c r="B22" s="3" t="s">
        <v>19</v>
      </c>
      <c r="D22" s="13"/>
    </row>
    <row r="23" spans="2:6" ht="15" customHeight="1" x14ac:dyDescent="0.25">
      <c r="B23" s="7" t="s">
        <v>9</v>
      </c>
      <c r="C23" s="7" t="s">
        <v>20</v>
      </c>
      <c r="D23" s="7" t="s">
        <v>21</v>
      </c>
      <c r="E23" s="42" t="s">
        <v>22</v>
      </c>
    </row>
    <row r="24" spans="2:6" ht="15" customHeight="1" x14ac:dyDescent="0.25">
      <c r="B24" s="4" t="s">
        <v>15</v>
      </c>
      <c r="C24" s="8" t="s">
        <v>23</v>
      </c>
      <c r="D24" s="8" t="s">
        <v>24</v>
      </c>
      <c r="E24" s="4" t="s">
        <v>25</v>
      </c>
    </row>
    <row r="25" spans="2:6" ht="15" customHeight="1" x14ac:dyDescent="0.25">
      <c r="B25" s="4" t="s">
        <v>16</v>
      </c>
      <c r="C25" s="8" t="s">
        <v>26</v>
      </c>
      <c r="D25" s="8" t="s">
        <v>27</v>
      </c>
      <c r="E25" s="43" t="s">
        <v>28</v>
      </c>
    </row>
    <row r="26" spans="2:6" ht="15" customHeight="1" x14ac:dyDescent="0.25">
      <c r="B26" s="4" t="s">
        <v>17</v>
      </c>
      <c r="C26" s="8" t="s">
        <v>29</v>
      </c>
      <c r="D26" s="8">
        <v>3470874462</v>
      </c>
      <c r="E26" s="43" t="s">
        <v>30</v>
      </c>
    </row>
    <row r="27" spans="2:6" ht="15" customHeight="1" x14ac:dyDescent="0.25">
      <c r="B27" s="12"/>
      <c r="C27" s="14"/>
      <c r="D27" s="14"/>
    </row>
    <row r="30" spans="2:6" ht="15" customHeight="1" x14ac:dyDescent="0.25">
      <c r="B30" s="3" t="s">
        <v>31</v>
      </c>
    </row>
    <row r="31" spans="2:6" ht="15" customHeight="1" x14ac:dyDescent="0.25">
      <c r="B31" s="7" t="s">
        <v>32</v>
      </c>
      <c r="C31" s="7" t="s">
        <v>11</v>
      </c>
      <c r="D31" s="7" t="s">
        <v>33</v>
      </c>
    </row>
    <row r="32" spans="2:6" ht="15" customHeight="1" x14ac:dyDescent="0.25">
      <c r="B32" s="4" t="s">
        <v>34</v>
      </c>
      <c r="C32" s="8">
        <f>SUMIFS(Calendario!I2:I254,Calendario!A2:A254,"&gt;="&amp;DATE(2026,7,1),Calendario!A2:A254,"&lt;"&amp;DATE(2026,8,1))</f>
        <v>90</v>
      </c>
      <c r="D32" s="8">
        <f>SUMIFS(Calendario!K2:K254,Calendario!A2:A254,"&gt;="&amp;DATE(2026,7,1),Calendario!A2:A254,"&lt;"&amp;DATE(2026,8,1))</f>
        <v>8</v>
      </c>
    </row>
    <row r="33" spans="2:4" ht="15" customHeight="1" x14ac:dyDescent="0.25">
      <c r="B33" s="4" t="s">
        <v>35</v>
      </c>
      <c r="C33" s="8">
        <f>SUMIFS(Calendario!I2:I254,Calendario!A2:A254,"&gt;="&amp;DATE(2026,8,1),Calendario!A2:A254,"&lt;"&amp;DATE(2026,9,1))</f>
        <v>216</v>
      </c>
      <c r="D33" s="8">
        <f>SUMIFS(Calendario!K2:K254,Calendario!A2:A254,"&gt;="&amp;DATE(2026,8,1),Calendario!A2:A254,"&lt;"&amp;DATE(2026,9,1))</f>
        <v>70</v>
      </c>
    </row>
    <row r="34" spans="2:4" ht="15" customHeight="1" x14ac:dyDescent="0.25">
      <c r="B34" s="4" t="s">
        <v>36</v>
      </c>
      <c r="C34" s="8">
        <f>SUMIFS(Calendario!I2:I254,Calendario!A2:A254,"&gt;="&amp;DATE(2026,9,1),Calendario!A2:A254,"&lt;"&amp;DATE(2026,10,1))</f>
        <v>348</v>
      </c>
      <c r="D34" s="8">
        <f>SUMIFS(Calendario!K2:K254,Calendario!A2:A254,"&gt;="&amp;DATE(2026,9,1),Calendario!A2:A254,"&lt;"&amp;DATE(2026,10,1))</f>
        <v>106</v>
      </c>
    </row>
    <row r="35" spans="2:4" ht="15" customHeight="1" x14ac:dyDescent="0.25">
      <c r="B35" s="4" t="s">
        <v>37</v>
      </c>
      <c r="C35" s="8">
        <f>SUMIFS(Calendario!I2:I254,Calendario!A2:A254,"&gt;="&amp;DATE(2026,10,1),Calendario!A2:A254,"&lt;"&amp;DATE(2026,11,1))</f>
        <v>185</v>
      </c>
      <c r="D35" s="8">
        <f>SUMIFS(Calendario!K2:K254,Calendario!A2:A254,"&gt;="&amp;DATE(2026,10,1),Calendario!A2:A254,"&lt;"&amp;DATE(2026,11,1))</f>
        <v>60</v>
      </c>
    </row>
    <row r="36" spans="2:4" ht="15" customHeight="1" x14ac:dyDescent="0.25">
      <c r="B36" s="5" t="s">
        <v>18</v>
      </c>
      <c r="C36" s="10">
        <f>SUM(C32:C35)</f>
        <v>839</v>
      </c>
      <c r="D36" s="10">
        <f>SUM(D32:D35)</f>
        <v>244</v>
      </c>
    </row>
    <row r="39" spans="2:4" ht="15" customHeight="1" x14ac:dyDescent="0.25">
      <c r="B39" s="3" t="s">
        <v>38</v>
      </c>
    </row>
    <row r="40" spans="2:4" ht="15" customHeight="1" x14ac:dyDescent="0.25">
      <c r="B40" s="7" t="s">
        <v>39</v>
      </c>
      <c r="C40" s="7" t="s">
        <v>11</v>
      </c>
      <c r="D40" s="7" t="s">
        <v>10</v>
      </c>
    </row>
    <row r="41" spans="2:4" ht="15" customHeight="1" x14ac:dyDescent="0.25">
      <c r="B41" s="4" t="s">
        <v>40</v>
      </c>
      <c r="C41" s="8">
        <f>SUMIFS(Calendario!I2:I254,Calendario!H2:H254,B41)</f>
        <v>74</v>
      </c>
      <c r="D41" s="8">
        <f>SUMIFS(Calendario!K2:K254,Calendario!H2:H254,B41)</f>
        <v>9</v>
      </c>
    </row>
    <row r="42" spans="2:4" ht="15" customHeight="1" x14ac:dyDescent="0.25">
      <c r="B42" s="4" t="s">
        <v>41</v>
      </c>
      <c r="C42" s="8">
        <f>SUMIFS(Calendario!I2:I254,Calendario!H2:H254,B42)</f>
        <v>626</v>
      </c>
      <c r="D42" s="8">
        <f>SUMIFS(Calendario!K2:K254,Calendario!H2:H254,B42)</f>
        <v>163</v>
      </c>
    </row>
    <row r="43" spans="2:4" ht="15" customHeight="1" x14ac:dyDescent="0.25">
      <c r="B43" s="4" t="s">
        <v>42</v>
      </c>
      <c r="C43" s="8">
        <f>SUMIFS(Calendario!I2:I254,Calendario!H2:H254,B43)</f>
        <v>10</v>
      </c>
      <c r="D43" s="8">
        <f>SUMIFS(Calendario!K2:K254,Calendario!H2:H254,B43)</f>
        <v>4</v>
      </c>
    </row>
    <row r="44" spans="2:4" ht="15" customHeight="1" x14ac:dyDescent="0.25">
      <c r="B44" s="4" t="s">
        <v>43</v>
      </c>
      <c r="C44" s="8">
        <f>SUMIFS(Calendario!I2:I254,Calendario!H2:H254,B44)</f>
        <v>129</v>
      </c>
      <c r="D44" s="8">
        <f>SUMIFS(Calendario!K2:K254,Calendario!H2:H254,B44)</f>
        <v>68</v>
      </c>
    </row>
    <row r="45" spans="2:4" ht="15" customHeight="1" x14ac:dyDescent="0.25">
      <c r="B45" s="5" t="s">
        <v>18</v>
      </c>
      <c r="C45" s="10">
        <f>SUM(C41:C44)</f>
        <v>839</v>
      </c>
      <c r="D45" s="10">
        <f>SUM(D41:D44)</f>
        <v>244</v>
      </c>
    </row>
    <row r="47" spans="2:4" ht="15" customHeight="1" x14ac:dyDescent="0.25">
      <c r="B47" s="15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4"/>
  <sheetViews>
    <sheetView tabSelected="1" zoomScale="115" zoomScaleNormal="115" workbookViewId="0">
      <pane ySplit="1" topLeftCell="A208" activePane="bottomLeft" state="frozen"/>
      <selection pane="bottomLeft" activeCell="A202" sqref="A202:XFD202"/>
    </sheetView>
  </sheetViews>
  <sheetFormatPr defaultColWidth="8.7109375" defaultRowHeight="15" x14ac:dyDescent="0.25"/>
  <cols>
    <col min="1" max="1" width="11" customWidth="1"/>
    <col min="2" max="2" width="10" customWidth="1"/>
    <col min="3" max="3" width="16" customWidth="1"/>
    <col min="4" max="4" width="20" customWidth="1"/>
    <col min="5" max="5" width="14" customWidth="1"/>
    <col min="6" max="6" width="18" customWidth="1"/>
    <col min="7" max="7" width="107" customWidth="1"/>
    <col min="8" max="8" width="13" customWidth="1"/>
    <col min="9" max="9" width="8" customWidth="1"/>
    <col min="10" max="10" width="22" customWidth="1"/>
    <col min="11" max="11" width="10" customWidth="1"/>
  </cols>
  <sheetData>
    <row r="1" spans="1:11" ht="23.25" customHeight="1" x14ac:dyDescent="0.25">
      <c r="A1" s="16" t="s">
        <v>45</v>
      </c>
      <c r="B1" s="16" t="s">
        <v>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39</v>
      </c>
      <c r="I1" s="16" t="s">
        <v>51</v>
      </c>
      <c r="J1" s="16" t="s">
        <v>52</v>
      </c>
      <c r="K1" s="16" t="s">
        <v>53</v>
      </c>
    </row>
    <row r="2" spans="1:11" ht="15" customHeight="1" x14ac:dyDescent="0.25">
      <c r="A2" s="19">
        <v>46230</v>
      </c>
      <c r="B2" s="4" t="s">
        <v>14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41</v>
      </c>
      <c r="I2" s="8">
        <v>3</v>
      </c>
      <c r="J2" s="4" t="s">
        <v>59</v>
      </c>
      <c r="K2" s="17">
        <f>IF(COUNTIFS($C$2:C2,C2)=1,1,0)</f>
        <v>1</v>
      </c>
    </row>
    <row r="3" spans="1:11" ht="15" customHeight="1" x14ac:dyDescent="0.25">
      <c r="A3" s="19">
        <v>46230</v>
      </c>
      <c r="B3" s="4" t="s">
        <v>14</v>
      </c>
      <c r="C3" s="4" t="s">
        <v>60</v>
      </c>
      <c r="D3" s="4" t="s">
        <v>61</v>
      </c>
      <c r="E3" s="4" t="s">
        <v>56</v>
      </c>
      <c r="F3" s="4" t="s">
        <v>57</v>
      </c>
      <c r="G3" s="4" t="s">
        <v>62</v>
      </c>
      <c r="H3" s="4" t="s">
        <v>41</v>
      </c>
      <c r="I3" s="8">
        <v>1</v>
      </c>
      <c r="J3" s="4" t="s">
        <v>63</v>
      </c>
      <c r="K3" s="17">
        <f>IF(COUNTIFS($C$2:C3,C3)=1,1,0)</f>
        <v>1</v>
      </c>
    </row>
    <row r="4" spans="1:11" ht="15" customHeight="1" x14ac:dyDescent="0.25">
      <c r="A4" s="19">
        <v>46231</v>
      </c>
      <c r="B4" s="4" t="s">
        <v>14</v>
      </c>
      <c r="C4" s="4" t="s">
        <v>64</v>
      </c>
      <c r="D4" s="4" t="s">
        <v>65</v>
      </c>
      <c r="E4" s="4" t="s">
        <v>56</v>
      </c>
      <c r="F4" s="4" t="s">
        <v>57</v>
      </c>
      <c r="G4" s="4" t="s">
        <v>66</v>
      </c>
      <c r="H4" s="4" t="s">
        <v>41</v>
      </c>
      <c r="I4" s="8">
        <v>42</v>
      </c>
      <c r="J4" s="4" t="s">
        <v>67</v>
      </c>
      <c r="K4" s="17">
        <f>IF(COUNTIFS($C$2:C4,C4)=1,1,0)</f>
        <v>1</v>
      </c>
    </row>
    <row r="5" spans="1:11" ht="15" customHeight="1" x14ac:dyDescent="0.25">
      <c r="A5" s="19">
        <v>46232</v>
      </c>
      <c r="B5" s="4" t="s">
        <v>14</v>
      </c>
      <c r="C5" s="4" t="s">
        <v>68</v>
      </c>
      <c r="D5" s="4" t="s">
        <v>69</v>
      </c>
      <c r="E5" s="4" t="s">
        <v>56</v>
      </c>
      <c r="F5" s="4" t="s">
        <v>57</v>
      </c>
      <c r="G5" s="4" t="s">
        <v>70</v>
      </c>
      <c r="H5" s="4" t="s">
        <v>41</v>
      </c>
      <c r="I5" s="8">
        <v>25</v>
      </c>
      <c r="J5" s="4" t="s">
        <v>71</v>
      </c>
      <c r="K5" s="17">
        <f>IF(COUNTIFS($C$2:C5,C5)=1,1,0)</f>
        <v>1</v>
      </c>
    </row>
    <row r="6" spans="1:11" ht="15" customHeight="1" x14ac:dyDescent="0.25">
      <c r="A6" s="19">
        <v>46232</v>
      </c>
      <c r="B6" s="4" t="s">
        <v>14</v>
      </c>
      <c r="C6" s="4" t="s">
        <v>72</v>
      </c>
      <c r="D6" s="4" t="s">
        <v>73</v>
      </c>
      <c r="E6" s="4" t="s">
        <v>56</v>
      </c>
      <c r="F6" s="4" t="s">
        <v>57</v>
      </c>
      <c r="G6" s="4" t="s">
        <v>74</v>
      </c>
      <c r="H6" s="4" t="s">
        <v>41</v>
      </c>
      <c r="I6" s="8">
        <v>4</v>
      </c>
      <c r="J6" s="4" t="s">
        <v>59</v>
      </c>
      <c r="K6" s="17">
        <f>IF(COUNTIFS($C$2:C6,C6)=1,1,0)</f>
        <v>1</v>
      </c>
    </row>
    <row r="7" spans="1:11" ht="15" customHeight="1" x14ac:dyDescent="0.25">
      <c r="A7" s="19">
        <v>46233</v>
      </c>
      <c r="B7" s="4" t="s">
        <v>14</v>
      </c>
      <c r="C7" s="4" t="s">
        <v>75</v>
      </c>
      <c r="D7" s="4" t="s">
        <v>76</v>
      </c>
      <c r="E7" s="4" t="s">
        <v>56</v>
      </c>
      <c r="F7" s="4" t="s">
        <v>57</v>
      </c>
      <c r="G7" s="4" t="s">
        <v>77</v>
      </c>
      <c r="H7" s="4" t="s">
        <v>41</v>
      </c>
      <c r="I7" s="8">
        <v>7</v>
      </c>
      <c r="J7" s="4" t="s">
        <v>78</v>
      </c>
      <c r="K7" s="17">
        <f>IF(COUNTIFS($C$2:C7,C7)=1,1,0)</f>
        <v>1</v>
      </c>
    </row>
    <row r="8" spans="1:11" ht="15" customHeight="1" x14ac:dyDescent="0.25">
      <c r="A8" s="19">
        <v>46233</v>
      </c>
      <c r="B8" s="4" t="s">
        <v>14</v>
      </c>
      <c r="C8" s="4" t="s">
        <v>79</v>
      </c>
      <c r="D8" s="4" t="s">
        <v>80</v>
      </c>
      <c r="E8" s="4" t="s">
        <v>56</v>
      </c>
      <c r="F8" s="4" t="s">
        <v>81</v>
      </c>
      <c r="G8" s="4" t="s">
        <v>82</v>
      </c>
      <c r="H8" s="4" t="s">
        <v>41</v>
      </c>
      <c r="I8" s="8">
        <v>6</v>
      </c>
      <c r="J8" s="4" t="s">
        <v>83</v>
      </c>
      <c r="K8" s="17">
        <f>IF(COUNTIFS($C$2:C8,C8)=1,1,0)</f>
        <v>1</v>
      </c>
    </row>
    <row r="9" spans="1:11" ht="15" customHeight="1" x14ac:dyDescent="0.25">
      <c r="A9" s="19">
        <v>46233</v>
      </c>
      <c r="B9" s="4" t="s">
        <v>14</v>
      </c>
      <c r="C9" s="4" t="s">
        <v>84</v>
      </c>
      <c r="D9" s="4" t="s">
        <v>85</v>
      </c>
      <c r="E9" s="4" t="s">
        <v>56</v>
      </c>
      <c r="F9" s="4" t="s">
        <v>57</v>
      </c>
      <c r="G9" s="4" t="s">
        <v>86</v>
      </c>
      <c r="H9" s="4" t="s">
        <v>43</v>
      </c>
      <c r="I9" s="8">
        <v>2</v>
      </c>
      <c r="J9" s="4" t="s">
        <v>87</v>
      </c>
      <c r="K9" s="17">
        <f>IF(COUNTIFS($C$2:C9,C9)=1,1,0)</f>
        <v>1</v>
      </c>
    </row>
    <row r="10" spans="1:11" s="35" customFormat="1" ht="15" customHeight="1" x14ac:dyDescent="0.25">
      <c r="A10" s="30">
        <v>46238</v>
      </c>
      <c r="B10" s="31" t="s">
        <v>16</v>
      </c>
      <c r="C10" s="31" t="s">
        <v>88</v>
      </c>
      <c r="D10" s="31" t="s">
        <v>89</v>
      </c>
      <c r="E10" s="31" t="s">
        <v>56</v>
      </c>
      <c r="F10" s="31" t="s">
        <v>89</v>
      </c>
      <c r="G10" s="31" t="s">
        <v>90</v>
      </c>
      <c r="H10" s="31" t="s">
        <v>40</v>
      </c>
      <c r="I10" s="32">
        <v>2</v>
      </c>
      <c r="J10" s="33" t="s">
        <v>91</v>
      </c>
      <c r="K10" s="34">
        <f>IF(COUNTIFS($C$2:C10,C10)=1,1,0)</f>
        <v>1</v>
      </c>
    </row>
    <row r="11" spans="1:11" s="35" customFormat="1" ht="15" customHeight="1" x14ac:dyDescent="0.25">
      <c r="A11" s="30">
        <v>46238</v>
      </c>
      <c r="B11" s="31" t="s">
        <v>16</v>
      </c>
      <c r="C11" s="31" t="s">
        <v>92</v>
      </c>
      <c r="D11" s="31" t="s">
        <v>93</v>
      </c>
      <c r="E11" s="31" t="s">
        <v>56</v>
      </c>
      <c r="F11" s="31" t="s">
        <v>94</v>
      </c>
      <c r="G11" s="31" t="s">
        <v>95</v>
      </c>
      <c r="H11" s="31" t="s">
        <v>41</v>
      </c>
      <c r="I11" s="32">
        <v>1</v>
      </c>
      <c r="J11" s="31" t="s">
        <v>96</v>
      </c>
      <c r="K11" s="34">
        <f>IF(COUNTIFS($C$2:C11,C11)=1,1,0)</f>
        <v>1</v>
      </c>
    </row>
    <row r="12" spans="1:11" s="35" customFormat="1" ht="15" customHeight="1" x14ac:dyDescent="0.25">
      <c r="A12" s="30">
        <v>46238</v>
      </c>
      <c r="B12" s="31" t="s">
        <v>16</v>
      </c>
      <c r="C12" s="31" t="s">
        <v>97</v>
      </c>
      <c r="D12" s="31" t="s">
        <v>98</v>
      </c>
      <c r="E12" s="31" t="s">
        <v>56</v>
      </c>
      <c r="F12" s="31" t="s">
        <v>99</v>
      </c>
      <c r="G12" s="31" t="s">
        <v>100</v>
      </c>
      <c r="H12" s="31" t="s">
        <v>41</v>
      </c>
      <c r="I12" s="32">
        <v>1</v>
      </c>
      <c r="J12" s="31" t="s">
        <v>101</v>
      </c>
      <c r="K12" s="34">
        <f>IF(COUNTIFS($C$2:C12,C12)=1,1,0)</f>
        <v>1</v>
      </c>
    </row>
    <row r="13" spans="1:11" s="35" customFormat="1" ht="15" customHeight="1" x14ac:dyDescent="0.25">
      <c r="A13" s="30">
        <v>46239</v>
      </c>
      <c r="B13" s="31" t="s">
        <v>16</v>
      </c>
      <c r="C13" s="31" t="s">
        <v>102</v>
      </c>
      <c r="D13" s="31" t="s">
        <v>103</v>
      </c>
      <c r="E13" s="31" t="s">
        <v>56</v>
      </c>
      <c r="F13" s="31" t="s">
        <v>57</v>
      </c>
      <c r="G13" s="31" t="s">
        <v>104</v>
      </c>
      <c r="H13" s="31" t="s">
        <v>41</v>
      </c>
      <c r="I13" s="32">
        <v>2</v>
      </c>
      <c r="J13" s="31" t="s">
        <v>87</v>
      </c>
      <c r="K13" s="34">
        <f>IF(COUNTIFS($C$2:C13,C13)=1,1,0)</f>
        <v>1</v>
      </c>
    </row>
    <row r="14" spans="1:11" s="35" customFormat="1" ht="15" customHeight="1" x14ac:dyDescent="0.25">
      <c r="A14" s="30">
        <v>46239</v>
      </c>
      <c r="B14" s="31" t="s">
        <v>16</v>
      </c>
      <c r="C14" s="31" t="s">
        <v>105</v>
      </c>
      <c r="D14" s="31" t="s">
        <v>106</v>
      </c>
      <c r="E14" s="31" t="s">
        <v>56</v>
      </c>
      <c r="F14" s="31" t="s">
        <v>57</v>
      </c>
      <c r="G14" s="31" t="s">
        <v>107</v>
      </c>
      <c r="H14" s="31" t="s">
        <v>41</v>
      </c>
      <c r="I14" s="32">
        <v>2</v>
      </c>
      <c r="J14" s="31" t="s">
        <v>108</v>
      </c>
      <c r="K14" s="34">
        <f>IF(COUNTIFS($C$2:C14,C14)=1,1,0)</f>
        <v>1</v>
      </c>
    </row>
    <row r="15" spans="1:11" s="35" customFormat="1" ht="15" customHeight="1" x14ac:dyDescent="0.25">
      <c r="A15" s="30">
        <v>46239</v>
      </c>
      <c r="B15" s="31" t="s">
        <v>16</v>
      </c>
      <c r="C15" s="31" t="s">
        <v>109</v>
      </c>
      <c r="D15" s="31" t="s">
        <v>110</v>
      </c>
      <c r="E15" s="31" t="s">
        <v>56</v>
      </c>
      <c r="F15" s="31" t="s">
        <v>57</v>
      </c>
      <c r="G15" s="31" t="s">
        <v>111</v>
      </c>
      <c r="H15" s="31" t="s">
        <v>43</v>
      </c>
      <c r="I15" s="32">
        <v>2</v>
      </c>
      <c r="J15" s="31" t="s">
        <v>112</v>
      </c>
      <c r="K15" s="34">
        <f>IF(COUNTIFS($C$2:C15,C15)=1,1,0)</f>
        <v>1</v>
      </c>
    </row>
    <row r="16" spans="1:11" s="35" customFormat="1" ht="15" customHeight="1" x14ac:dyDescent="0.25">
      <c r="A16" s="30">
        <v>46239</v>
      </c>
      <c r="B16" s="31" t="s">
        <v>16</v>
      </c>
      <c r="C16" s="31" t="s">
        <v>113</v>
      </c>
      <c r="D16" s="31" t="s">
        <v>114</v>
      </c>
      <c r="E16" s="31" t="s">
        <v>56</v>
      </c>
      <c r="F16" s="31" t="s">
        <v>57</v>
      </c>
      <c r="G16" s="31" t="s">
        <v>115</v>
      </c>
      <c r="H16" s="31" t="s">
        <v>43</v>
      </c>
      <c r="I16" s="32">
        <v>2</v>
      </c>
      <c r="J16" s="31" t="s">
        <v>116</v>
      </c>
      <c r="K16" s="34">
        <f>IF(COUNTIFS($C$2:C16,C16)=1,1,0)</f>
        <v>1</v>
      </c>
    </row>
    <row r="17" spans="1:11" s="35" customFormat="1" ht="15" customHeight="1" x14ac:dyDescent="0.25">
      <c r="A17" s="30">
        <v>46240</v>
      </c>
      <c r="B17" s="31" t="s">
        <v>16</v>
      </c>
      <c r="C17" s="31" t="s">
        <v>117</v>
      </c>
      <c r="D17" s="31" t="s">
        <v>118</v>
      </c>
      <c r="E17" s="31" t="s">
        <v>56</v>
      </c>
      <c r="F17" s="31" t="s">
        <v>57</v>
      </c>
      <c r="G17" s="31" t="s">
        <v>119</v>
      </c>
      <c r="H17" s="31" t="s">
        <v>41</v>
      </c>
      <c r="I17" s="32">
        <v>4</v>
      </c>
      <c r="J17" s="33" t="s">
        <v>120</v>
      </c>
      <c r="K17" s="34">
        <f>IF(COUNTIFS($C$2:C17,C17)=1,1,0)</f>
        <v>1</v>
      </c>
    </row>
    <row r="18" spans="1:11" s="35" customFormat="1" ht="15" customHeight="1" x14ac:dyDescent="0.25">
      <c r="A18" s="30">
        <v>46240</v>
      </c>
      <c r="B18" s="33" t="s">
        <v>16</v>
      </c>
      <c r="C18" s="31" t="s">
        <v>121</v>
      </c>
      <c r="D18" s="31" t="s">
        <v>122</v>
      </c>
      <c r="E18" s="31" t="s">
        <v>56</v>
      </c>
      <c r="F18" s="31" t="s">
        <v>57</v>
      </c>
      <c r="G18" s="31" t="s">
        <v>123</v>
      </c>
      <c r="H18" s="31" t="s">
        <v>41</v>
      </c>
      <c r="I18" s="32">
        <v>2</v>
      </c>
      <c r="J18" s="33" t="s">
        <v>116</v>
      </c>
      <c r="K18" s="34">
        <f>IF(COUNTIFS($C$2:C18,C18)=1,1,0)</f>
        <v>1</v>
      </c>
    </row>
    <row r="19" spans="1:11" s="35" customFormat="1" ht="15" customHeight="1" x14ac:dyDescent="0.25">
      <c r="A19" s="30">
        <v>46241</v>
      </c>
      <c r="B19" s="31" t="s">
        <v>16</v>
      </c>
      <c r="C19" s="31" t="s">
        <v>88</v>
      </c>
      <c r="D19" s="31" t="s">
        <v>89</v>
      </c>
      <c r="E19" s="31" t="s">
        <v>56</v>
      </c>
      <c r="F19" s="31" t="s">
        <v>89</v>
      </c>
      <c r="G19" s="31" t="s">
        <v>90</v>
      </c>
      <c r="H19" s="31" t="s">
        <v>40</v>
      </c>
      <c r="I19" s="32">
        <v>6</v>
      </c>
      <c r="J19" s="33" t="s">
        <v>124</v>
      </c>
      <c r="K19" s="34">
        <f>IF(COUNTIFS($C$2:C19,C19)=1,1,0)</f>
        <v>0</v>
      </c>
    </row>
    <row r="20" spans="1:11" s="23" customFormat="1" ht="15" customHeight="1" x14ac:dyDescent="0.25">
      <c r="A20" s="49">
        <v>46251</v>
      </c>
      <c r="B20" s="50" t="s">
        <v>17</v>
      </c>
      <c r="C20" s="50" t="s">
        <v>125</v>
      </c>
      <c r="D20" s="51">
        <v>11441</v>
      </c>
      <c r="E20" s="50" t="s">
        <v>126</v>
      </c>
      <c r="F20" s="50" t="s">
        <v>127</v>
      </c>
      <c r="G20" s="50" t="s">
        <v>128</v>
      </c>
      <c r="H20" s="50" t="s">
        <v>41</v>
      </c>
      <c r="I20" s="22">
        <v>4</v>
      </c>
      <c r="J20" s="50" t="s">
        <v>129</v>
      </c>
      <c r="K20" s="24">
        <v>1</v>
      </c>
    </row>
    <row r="21" spans="1:11" s="23" customFormat="1" ht="15" customHeight="1" x14ac:dyDescent="0.25">
      <c r="A21" s="20">
        <v>46251</v>
      </c>
      <c r="B21" s="21" t="s">
        <v>15</v>
      </c>
      <c r="C21" s="21" t="s">
        <v>130</v>
      </c>
      <c r="D21" s="21" t="s">
        <v>131</v>
      </c>
      <c r="E21" s="21" t="s">
        <v>132</v>
      </c>
      <c r="F21" s="21" t="s">
        <v>133</v>
      </c>
      <c r="G21" s="21" t="s">
        <v>134</v>
      </c>
      <c r="H21" s="21" t="s">
        <v>41</v>
      </c>
      <c r="I21" s="22">
        <v>6</v>
      </c>
      <c r="J21" s="21" t="s">
        <v>135</v>
      </c>
      <c r="K21" s="24">
        <f>IF(COUNTIFS($C$2:C21,C21)=1,1,0)</f>
        <v>1</v>
      </c>
    </row>
    <row r="22" spans="1:11" s="23" customFormat="1" ht="15" customHeight="1" x14ac:dyDescent="0.25">
      <c r="A22" s="20">
        <v>46251</v>
      </c>
      <c r="B22" s="21" t="s">
        <v>16</v>
      </c>
      <c r="C22" s="21" t="s">
        <v>136</v>
      </c>
      <c r="D22" s="21" t="s">
        <v>137</v>
      </c>
      <c r="E22" s="21" t="s">
        <v>138</v>
      </c>
      <c r="F22" s="21" t="s">
        <v>139</v>
      </c>
      <c r="G22" s="21" t="s">
        <v>140</v>
      </c>
      <c r="H22" s="21" t="s">
        <v>41</v>
      </c>
      <c r="I22" s="22">
        <v>3</v>
      </c>
      <c r="J22" s="21" t="s">
        <v>141</v>
      </c>
      <c r="K22" s="24">
        <f>IF(COUNTIFS($C$2:C22,C22)=1,1,0)</f>
        <v>1</v>
      </c>
    </row>
    <row r="23" spans="1:11" s="23" customFormat="1" ht="15" customHeight="1" x14ac:dyDescent="0.25">
      <c r="A23" s="20">
        <v>46251</v>
      </c>
      <c r="B23" s="21" t="s">
        <v>16</v>
      </c>
      <c r="C23" s="21" t="s">
        <v>142</v>
      </c>
      <c r="D23" s="21" t="s">
        <v>143</v>
      </c>
      <c r="E23" s="21" t="s">
        <v>138</v>
      </c>
      <c r="F23" s="21" t="s">
        <v>144</v>
      </c>
      <c r="G23" s="21" t="s">
        <v>145</v>
      </c>
      <c r="H23" s="21" t="s">
        <v>41</v>
      </c>
      <c r="I23" s="22">
        <v>2</v>
      </c>
      <c r="J23" s="21" t="s">
        <v>146</v>
      </c>
      <c r="K23" s="24">
        <f>IF(COUNTIFS($C$2:C23,C23)=1,1,0)</f>
        <v>1</v>
      </c>
    </row>
    <row r="24" spans="1:11" s="23" customFormat="1" ht="15" customHeight="1" x14ac:dyDescent="0.25">
      <c r="A24" s="49">
        <v>46251</v>
      </c>
      <c r="B24" s="50" t="s">
        <v>17</v>
      </c>
      <c r="C24" s="50" t="s">
        <v>147</v>
      </c>
      <c r="D24" s="51">
        <v>302772</v>
      </c>
      <c r="E24" s="50" t="s">
        <v>126</v>
      </c>
      <c r="F24" s="50" t="s">
        <v>127</v>
      </c>
      <c r="G24" s="50" t="s">
        <v>148</v>
      </c>
      <c r="H24" s="50" t="s">
        <v>41</v>
      </c>
      <c r="I24" s="22">
        <v>1</v>
      </c>
      <c r="J24" s="50" t="s">
        <v>87</v>
      </c>
      <c r="K24" s="24">
        <v>1</v>
      </c>
    </row>
    <row r="25" spans="1:11" s="23" customFormat="1" ht="15" customHeight="1" x14ac:dyDescent="0.25">
      <c r="A25" s="20">
        <v>46252</v>
      </c>
      <c r="B25" s="21" t="s">
        <v>16</v>
      </c>
      <c r="C25" s="21" t="s">
        <v>149</v>
      </c>
      <c r="D25" s="21" t="s">
        <v>150</v>
      </c>
      <c r="E25" s="21" t="s">
        <v>138</v>
      </c>
      <c r="F25" s="21" t="s">
        <v>151</v>
      </c>
      <c r="G25" s="21" t="s">
        <v>152</v>
      </c>
      <c r="H25" s="21" t="s">
        <v>41</v>
      </c>
      <c r="I25" s="22">
        <v>9</v>
      </c>
      <c r="J25" s="21" t="s">
        <v>153</v>
      </c>
      <c r="K25" s="24">
        <f>IF(COUNTIFS($C$2:C25,C25)=1,1,0)</f>
        <v>1</v>
      </c>
    </row>
    <row r="26" spans="1:11" s="23" customFormat="1" ht="15" customHeight="1" x14ac:dyDescent="0.25">
      <c r="A26" s="20">
        <v>46252</v>
      </c>
      <c r="B26" s="21" t="s">
        <v>15</v>
      </c>
      <c r="C26" s="21" t="s">
        <v>154</v>
      </c>
      <c r="D26" s="21" t="s">
        <v>155</v>
      </c>
      <c r="E26" s="21" t="s">
        <v>132</v>
      </c>
      <c r="F26" s="21" t="s">
        <v>133</v>
      </c>
      <c r="G26" s="21" t="s">
        <v>156</v>
      </c>
      <c r="H26" s="21" t="s">
        <v>41</v>
      </c>
      <c r="I26" s="22">
        <v>6</v>
      </c>
      <c r="J26" s="21" t="s">
        <v>157</v>
      </c>
      <c r="K26" s="24">
        <f>IF(COUNTIFS($C$2:C26,C26)=1,1,0)</f>
        <v>1</v>
      </c>
    </row>
    <row r="27" spans="1:11" s="23" customFormat="1" ht="15" customHeight="1" x14ac:dyDescent="0.25">
      <c r="A27" s="49">
        <v>46252</v>
      </c>
      <c r="B27" s="50" t="s">
        <v>17</v>
      </c>
      <c r="C27" s="50" t="s">
        <v>158</v>
      </c>
      <c r="D27" s="51">
        <v>964</v>
      </c>
      <c r="E27" s="50" t="s">
        <v>126</v>
      </c>
      <c r="F27" s="50" t="s">
        <v>159</v>
      </c>
      <c r="G27" s="50" t="s">
        <v>160</v>
      </c>
      <c r="H27" s="50" t="s">
        <v>41</v>
      </c>
      <c r="I27" s="22">
        <v>6</v>
      </c>
      <c r="J27" s="50" t="s">
        <v>161</v>
      </c>
      <c r="K27" s="24">
        <v>1</v>
      </c>
    </row>
    <row r="28" spans="1:11" s="23" customFormat="1" ht="15" customHeight="1" x14ac:dyDescent="0.25">
      <c r="A28" s="20">
        <v>46252</v>
      </c>
      <c r="B28" s="21" t="s">
        <v>16</v>
      </c>
      <c r="C28" s="21" t="s">
        <v>162</v>
      </c>
      <c r="D28" s="21" t="s">
        <v>163</v>
      </c>
      <c r="E28" s="21" t="s">
        <v>138</v>
      </c>
      <c r="F28" s="21" t="s">
        <v>144</v>
      </c>
      <c r="G28" s="21" t="s">
        <v>164</v>
      </c>
      <c r="H28" s="21" t="s">
        <v>41</v>
      </c>
      <c r="I28" s="22">
        <v>3</v>
      </c>
      <c r="J28" s="21" t="s">
        <v>165</v>
      </c>
      <c r="K28" s="24">
        <f>IF(COUNTIFS($C$2:C28,C28)=1,1,0)</f>
        <v>1</v>
      </c>
    </row>
    <row r="29" spans="1:11" s="23" customFormat="1" ht="15" customHeight="1" x14ac:dyDescent="0.25">
      <c r="A29" s="20">
        <v>46252</v>
      </c>
      <c r="B29" s="21" t="s">
        <v>15</v>
      </c>
      <c r="C29" s="21" t="s">
        <v>166</v>
      </c>
      <c r="D29" s="21" t="s">
        <v>167</v>
      </c>
      <c r="E29" s="21" t="s">
        <v>132</v>
      </c>
      <c r="F29" s="21" t="s">
        <v>133</v>
      </c>
      <c r="G29" s="21" t="s">
        <v>168</v>
      </c>
      <c r="H29" s="21" t="s">
        <v>43</v>
      </c>
      <c r="I29" s="22">
        <v>2</v>
      </c>
      <c r="J29" s="21" t="s">
        <v>169</v>
      </c>
      <c r="K29" s="24">
        <f>IF(COUNTIFS($C$2:C29,C29)=1,1,0)</f>
        <v>1</v>
      </c>
    </row>
    <row r="30" spans="1:11" s="23" customFormat="1" ht="15" customHeight="1" x14ac:dyDescent="0.25">
      <c r="A30" s="20">
        <v>46252</v>
      </c>
      <c r="B30" s="21" t="s">
        <v>15</v>
      </c>
      <c r="C30" s="21" t="s">
        <v>170</v>
      </c>
      <c r="D30" s="21" t="s">
        <v>133</v>
      </c>
      <c r="E30" s="21" t="s">
        <v>132</v>
      </c>
      <c r="F30" s="21" t="s">
        <v>133</v>
      </c>
      <c r="G30" s="21" t="s">
        <v>171</v>
      </c>
      <c r="H30" s="21" t="s">
        <v>42</v>
      </c>
      <c r="I30" s="22">
        <v>2</v>
      </c>
      <c r="J30" s="21" t="s">
        <v>172</v>
      </c>
      <c r="K30" s="24">
        <f>IF(COUNTIFS($C$2:C30,C30)=1,1,0)</f>
        <v>1</v>
      </c>
    </row>
    <row r="31" spans="1:11" s="23" customFormat="1" ht="15" customHeight="1" x14ac:dyDescent="0.25">
      <c r="A31" s="20">
        <v>46253</v>
      </c>
      <c r="B31" s="21" t="s">
        <v>16</v>
      </c>
      <c r="C31" s="21" t="s">
        <v>173</v>
      </c>
      <c r="D31" s="21" t="s">
        <v>174</v>
      </c>
      <c r="E31" s="21" t="s">
        <v>138</v>
      </c>
      <c r="F31" s="21" t="s">
        <v>144</v>
      </c>
      <c r="G31" s="21" t="s">
        <v>175</v>
      </c>
      <c r="H31" s="21" t="s">
        <v>41</v>
      </c>
      <c r="I31" s="22">
        <v>6</v>
      </c>
      <c r="J31" s="21" t="s">
        <v>176</v>
      </c>
      <c r="K31" s="24">
        <f>IF(COUNTIFS($C$2:C31,C31)=1,1,0)</f>
        <v>1</v>
      </c>
    </row>
    <row r="32" spans="1:11" s="23" customFormat="1" ht="15" customHeight="1" x14ac:dyDescent="0.25">
      <c r="A32" s="49">
        <v>46253</v>
      </c>
      <c r="B32" s="50" t="s">
        <v>17</v>
      </c>
      <c r="C32" s="50" t="s">
        <v>158</v>
      </c>
      <c r="D32" s="51">
        <v>964</v>
      </c>
      <c r="E32" s="50" t="s">
        <v>126</v>
      </c>
      <c r="F32" s="50" t="s">
        <v>159</v>
      </c>
      <c r="G32" s="50" t="s">
        <v>160</v>
      </c>
      <c r="H32" s="50" t="s">
        <v>41</v>
      </c>
      <c r="I32" s="22">
        <v>4</v>
      </c>
      <c r="J32" s="50" t="s">
        <v>177</v>
      </c>
      <c r="K32" s="24">
        <v>0</v>
      </c>
    </row>
    <row r="33" spans="1:11" s="23" customFormat="1" ht="15" customHeight="1" x14ac:dyDescent="0.25">
      <c r="A33" s="20">
        <v>46253</v>
      </c>
      <c r="B33" s="21" t="s">
        <v>16</v>
      </c>
      <c r="C33" s="21" t="s">
        <v>178</v>
      </c>
      <c r="D33" s="21" t="s">
        <v>179</v>
      </c>
      <c r="E33" s="21" t="s">
        <v>138</v>
      </c>
      <c r="F33" s="21" t="s">
        <v>180</v>
      </c>
      <c r="G33" s="21" t="s">
        <v>181</v>
      </c>
      <c r="H33" s="21" t="s">
        <v>41</v>
      </c>
      <c r="I33" s="22">
        <v>5</v>
      </c>
      <c r="J33" s="21" t="s">
        <v>182</v>
      </c>
      <c r="K33" s="24">
        <f>IF(COUNTIFS($C$2:C33,C33)=1,1,0)</f>
        <v>1</v>
      </c>
    </row>
    <row r="34" spans="1:11" s="23" customFormat="1" ht="15" customHeight="1" x14ac:dyDescent="0.25">
      <c r="A34" s="20">
        <v>46253</v>
      </c>
      <c r="B34" s="21" t="s">
        <v>15</v>
      </c>
      <c r="C34" s="21" t="s">
        <v>183</v>
      </c>
      <c r="D34" s="21" t="s">
        <v>184</v>
      </c>
      <c r="E34" s="21" t="s">
        <v>132</v>
      </c>
      <c r="F34" s="21" t="s">
        <v>185</v>
      </c>
      <c r="G34" s="21" t="s">
        <v>186</v>
      </c>
      <c r="H34" s="21" t="s">
        <v>41</v>
      </c>
      <c r="I34" s="22">
        <v>6</v>
      </c>
      <c r="J34" s="21" t="s">
        <v>176</v>
      </c>
      <c r="K34" s="24">
        <f>IF(COUNTIFS($C$2:C34,C34)=1,1,0)</f>
        <v>1</v>
      </c>
    </row>
    <row r="35" spans="1:11" s="23" customFormat="1" ht="15" customHeight="1" x14ac:dyDescent="0.25">
      <c r="A35" s="49">
        <v>46253</v>
      </c>
      <c r="B35" s="50" t="s">
        <v>17</v>
      </c>
      <c r="C35" s="50" t="s">
        <v>187</v>
      </c>
      <c r="D35" s="51">
        <v>5749</v>
      </c>
      <c r="E35" s="50" t="s">
        <v>126</v>
      </c>
      <c r="F35" s="50" t="s">
        <v>188</v>
      </c>
      <c r="G35" s="50" t="s">
        <v>189</v>
      </c>
      <c r="H35" s="50" t="s">
        <v>41</v>
      </c>
      <c r="I35" s="22">
        <v>2</v>
      </c>
      <c r="J35" s="50" t="s">
        <v>59</v>
      </c>
      <c r="K35" s="24">
        <v>1</v>
      </c>
    </row>
    <row r="36" spans="1:11" s="23" customFormat="1" ht="15" customHeight="1" x14ac:dyDescent="0.25">
      <c r="A36" s="20">
        <v>46253</v>
      </c>
      <c r="B36" s="21" t="s">
        <v>15</v>
      </c>
      <c r="C36" s="21" t="s">
        <v>190</v>
      </c>
      <c r="D36" s="21" t="s">
        <v>191</v>
      </c>
      <c r="E36" s="21" t="s">
        <v>132</v>
      </c>
      <c r="F36" s="21" t="s">
        <v>192</v>
      </c>
      <c r="G36" s="21" t="s">
        <v>193</v>
      </c>
      <c r="H36" s="21" t="s">
        <v>41</v>
      </c>
      <c r="I36" s="22">
        <v>1</v>
      </c>
      <c r="J36" s="21" t="s">
        <v>194</v>
      </c>
      <c r="K36" s="24">
        <f>IF(COUNTIFS($C$2:C36,C36)=1,1,0)</f>
        <v>1</v>
      </c>
    </row>
    <row r="37" spans="1:11" s="23" customFormat="1" ht="15" customHeight="1" x14ac:dyDescent="0.25">
      <c r="A37" s="20">
        <v>46253</v>
      </c>
      <c r="B37" s="21" t="s">
        <v>15</v>
      </c>
      <c r="C37" s="21" t="s">
        <v>195</v>
      </c>
      <c r="D37" s="21" t="s">
        <v>196</v>
      </c>
      <c r="E37" s="21" t="s">
        <v>132</v>
      </c>
      <c r="F37" s="21" t="s">
        <v>192</v>
      </c>
      <c r="G37" s="21" t="s">
        <v>197</v>
      </c>
      <c r="H37" s="21" t="s">
        <v>43</v>
      </c>
      <c r="I37" s="22">
        <v>1</v>
      </c>
      <c r="J37" s="21" t="s">
        <v>96</v>
      </c>
      <c r="K37" s="24">
        <f>IF(COUNTIFS($C$2:C37,C37)=1,1,0)</f>
        <v>1</v>
      </c>
    </row>
    <row r="38" spans="1:11" s="23" customFormat="1" ht="15" customHeight="1" x14ac:dyDescent="0.25">
      <c r="A38" s="20">
        <v>46254</v>
      </c>
      <c r="B38" s="21" t="s">
        <v>15</v>
      </c>
      <c r="C38" s="21" t="s">
        <v>198</v>
      </c>
      <c r="D38" s="21" t="s">
        <v>199</v>
      </c>
      <c r="E38" s="21" t="s">
        <v>132</v>
      </c>
      <c r="F38" s="21" t="s">
        <v>200</v>
      </c>
      <c r="G38" s="21" t="s">
        <v>201</v>
      </c>
      <c r="H38" s="21" t="s">
        <v>41</v>
      </c>
      <c r="I38" s="22">
        <v>6</v>
      </c>
      <c r="J38" s="21" t="s">
        <v>202</v>
      </c>
      <c r="K38" s="24">
        <f>IF(COUNTIFS($C$2:C38,C38)=1,1,0)</f>
        <v>1</v>
      </c>
    </row>
    <row r="39" spans="1:11" s="23" customFormat="1" ht="15" customHeight="1" x14ac:dyDescent="0.25">
      <c r="A39" s="20">
        <v>46254</v>
      </c>
      <c r="B39" s="21" t="s">
        <v>16</v>
      </c>
      <c r="C39" s="21" t="s">
        <v>203</v>
      </c>
      <c r="D39" s="21" t="s">
        <v>204</v>
      </c>
      <c r="E39" s="21" t="s">
        <v>138</v>
      </c>
      <c r="F39" s="21" t="s">
        <v>144</v>
      </c>
      <c r="G39" s="21" t="s">
        <v>205</v>
      </c>
      <c r="H39" s="21" t="s">
        <v>41</v>
      </c>
      <c r="I39" s="22">
        <v>5</v>
      </c>
      <c r="J39" s="21" t="s">
        <v>182</v>
      </c>
      <c r="K39" s="24">
        <f>IF(COUNTIFS($C$2:C39,C39)=1,1,0)</f>
        <v>1</v>
      </c>
    </row>
    <row r="40" spans="1:11" s="23" customFormat="1" ht="15" customHeight="1" x14ac:dyDescent="0.25">
      <c r="A40" s="49">
        <v>46254</v>
      </c>
      <c r="B40" s="50" t="s">
        <v>17</v>
      </c>
      <c r="C40" s="50" t="s">
        <v>206</v>
      </c>
      <c r="D40" s="51">
        <v>970</v>
      </c>
      <c r="E40" s="50" t="s">
        <v>126</v>
      </c>
      <c r="F40" s="50" t="s">
        <v>207</v>
      </c>
      <c r="G40" s="50" t="s">
        <v>208</v>
      </c>
      <c r="H40" s="50" t="s">
        <v>41</v>
      </c>
      <c r="I40" s="22">
        <v>4</v>
      </c>
      <c r="J40" s="50" t="s">
        <v>209</v>
      </c>
      <c r="K40" s="24">
        <v>1</v>
      </c>
    </row>
    <row r="41" spans="1:11" s="23" customFormat="1" ht="15" customHeight="1" x14ac:dyDescent="0.25">
      <c r="A41" s="20">
        <v>46254</v>
      </c>
      <c r="B41" s="21" t="s">
        <v>15</v>
      </c>
      <c r="C41" s="21" t="s">
        <v>210</v>
      </c>
      <c r="D41" s="21" t="s">
        <v>211</v>
      </c>
      <c r="E41" s="21" t="s">
        <v>132</v>
      </c>
      <c r="F41" s="21" t="s">
        <v>200</v>
      </c>
      <c r="G41" s="21" t="s">
        <v>212</v>
      </c>
      <c r="H41" s="21" t="s">
        <v>41</v>
      </c>
      <c r="I41" s="22">
        <v>3</v>
      </c>
      <c r="J41" s="21" t="s">
        <v>108</v>
      </c>
      <c r="K41" s="24">
        <f>IF(COUNTIFS($C$2:C41,C41)=1,1,0)</f>
        <v>1</v>
      </c>
    </row>
    <row r="42" spans="1:11" s="23" customFormat="1" ht="15" customHeight="1" x14ac:dyDescent="0.25">
      <c r="A42" s="49">
        <v>46254</v>
      </c>
      <c r="B42" s="50" t="s">
        <v>17</v>
      </c>
      <c r="C42" s="50" t="s">
        <v>206</v>
      </c>
      <c r="D42" s="51">
        <v>970</v>
      </c>
      <c r="E42" s="50" t="s">
        <v>126</v>
      </c>
      <c r="F42" s="50" t="s">
        <v>207</v>
      </c>
      <c r="G42" s="50" t="s">
        <v>208</v>
      </c>
      <c r="H42" s="50" t="s">
        <v>41</v>
      </c>
      <c r="I42" s="22">
        <v>2</v>
      </c>
      <c r="J42" s="50" t="s">
        <v>59</v>
      </c>
      <c r="K42" s="24">
        <v>0</v>
      </c>
    </row>
    <row r="43" spans="1:11" s="23" customFormat="1" ht="15" customHeight="1" x14ac:dyDescent="0.25">
      <c r="A43" s="20">
        <v>46255</v>
      </c>
      <c r="B43" s="21" t="s">
        <v>17</v>
      </c>
      <c r="C43" s="21" t="s">
        <v>213</v>
      </c>
      <c r="D43" s="21" t="s">
        <v>214</v>
      </c>
      <c r="E43" s="21" t="s">
        <v>126</v>
      </c>
      <c r="F43" s="21" t="s">
        <v>215</v>
      </c>
      <c r="G43" s="21" t="s">
        <v>216</v>
      </c>
      <c r="H43" s="21" t="s">
        <v>41</v>
      </c>
      <c r="I43" s="22">
        <v>3</v>
      </c>
      <c r="J43" s="21" t="s">
        <v>209</v>
      </c>
      <c r="K43" s="24">
        <f>IF(COUNTIFS($C$2:C43,C43)=1,1,0)</f>
        <v>1</v>
      </c>
    </row>
    <row r="44" spans="1:11" s="23" customFormat="1" ht="15" customHeight="1" x14ac:dyDescent="0.25">
      <c r="A44" s="20">
        <v>46255</v>
      </c>
      <c r="B44" s="21" t="s">
        <v>17</v>
      </c>
      <c r="C44" s="21" t="s">
        <v>217</v>
      </c>
      <c r="D44" s="21" t="s">
        <v>218</v>
      </c>
      <c r="E44" s="21" t="s">
        <v>126</v>
      </c>
      <c r="F44" s="21" t="s">
        <v>215</v>
      </c>
      <c r="G44" s="21" t="s">
        <v>219</v>
      </c>
      <c r="H44" s="21" t="s">
        <v>41</v>
      </c>
      <c r="I44" s="22">
        <v>2</v>
      </c>
      <c r="J44" s="21" t="s">
        <v>59</v>
      </c>
      <c r="K44" s="24">
        <f>IF(COUNTIFS($C$2:C44,C44)=1,1,0)</f>
        <v>1</v>
      </c>
    </row>
    <row r="45" spans="1:11" s="23" customFormat="1" ht="15" customHeight="1" x14ac:dyDescent="0.25">
      <c r="A45" s="20">
        <v>46255</v>
      </c>
      <c r="B45" s="21" t="s">
        <v>15</v>
      </c>
      <c r="C45" s="21" t="s">
        <v>220</v>
      </c>
      <c r="D45" s="21" t="s">
        <v>221</v>
      </c>
      <c r="E45" s="21" t="s">
        <v>132</v>
      </c>
      <c r="F45" s="21" t="s">
        <v>185</v>
      </c>
      <c r="G45" s="21" t="s">
        <v>222</v>
      </c>
      <c r="H45" s="21" t="s">
        <v>43</v>
      </c>
      <c r="I45" s="22">
        <v>1</v>
      </c>
      <c r="J45" s="21" t="s">
        <v>223</v>
      </c>
      <c r="K45" s="24">
        <f>IF(COUNTIFS($C$2:C45,C45)=1,1,0)</f>
        <v>1</v>
      </c>
    </row>
    <row r="46" spans="1:11" s="23" customFormat="1" ht="15" customHeight="1" x14ac:dyDescent="0.25">
      <c r="A46" s="20">
        <v>46255</v>
      </c>
      <c r="B46" s="21" t="s">
        <v>15</v>
      </c>
      <c r="C46" s="21" t="s">
        <v>224</v>
      </c>
      <c r="D46" s="21" t="s">
        <v>225</v>
      </c>
      <c r="E46" s="21" t="s">
        <v>132</v>
      </c>
      <c r="F46" s="21" t="s">
        <v>185</v>
      </c>
      <c r="G46" s="21" t="s">
        <v>226</v>
      </c>
      <c r="H46" s="21" t="s">
        <v>43</v>
      </c>
      <c r="I46" s="22">
        <v>1</v>
      </c>
      <c r="J46" s="21" t="s">
        <v>227</v>
      </c>
      <c r="K46" s="24">
        <f>IF(COUNTIFS($C$2:C46,C46)=1,1,0)</f>
        <v>1</v>
      </c>
    </row>
    <row r="47" spans="1:11" s="23" customFormat="1" ht="15" customHeight="1" x14ac:dyDescent="0.25">
      <c r="A47" s="20">
        <v>46258</v>
      </c>
      <c r="B47" s="21" t="s">
        <v>15</v>
      </c>
      <c r="C47" s="21" t="s">
        <v>228</v>
      </c>
      <c r="D47" s="21" t="s">
        <v>229</v>
      </c>
      <c r="E47" s="21" t="s">
        <v>132</v>
      </c>
      <c r="F47" s="21" t="s">
        <v>230</v>
      </c>
      <c r="G47" s="21" t="s">
        <v>231</v>
      </c>
      <c r="H47" s="21" t="s">
        <v>41</v>
      </c>
      <c r="I47" s="22">
        <v>5</v>
      </c>
      <c r="J47" s="21" t="s">
        <v>232</v>
      </c>
      <c r="K47" s="24">
        <f>IF(COUNTIFS($C$2:C47,C47)=1,1,0)</f>
        <v>1</v>
      </c>
    </row>
    <row r="48" spans="1:11" s="23" customFormat="1" ht="15" customHeight="1" x14ac:dyDescent="0.25">
      <c r="A48" s="20">
        <v>46258</v>
      </c>
      <c r="B48" s="21" t="s">
        <v>16</v>
      </c>
      <c r="C48" s="21" t="s">
        <v>233</v>
      </c>
      <c r="D48" s="21" t="s">
        <v>234</v>
      </c>
      <c r="E48" s="21" t="s">
        <v>138</v>
      </c>
      <c r="F48" s="21" t="s">
        <v>144</v>
      </c>
      <c r="G48" s="21" t="s">
        <v>235</v>
      </c>
      <c r="H48" s="21" t="s">
        <v>43</v>
      </c>
      <c r="I48" s="22">
        <v>4</v>
      </c>
      <c r="J48" s="21" t="s">
        <v>236</v>
      </c>
      <c r="K48" s="24">
        <f>IF(COUNTIFS($C$2:C48,C48)=1,1,0)</f>
        <v>1</v>
      </c>
    </row>
    <row r="49" spans="1:11" s="23" customFormat="1" ht="15" customHeight="1" x14ac:dyDescent="0.25">
      <c r="A49" s="20">
        <v>46258</v>
      </c>
      <c r="B49" s="21" t="s">
        <v>15</v>
      </c>
      <c r="C49" s="21" t="s">
        <v>237</v>
      </c>
      <c r="D49" s="21" t="s">
        <v>238</v>
      </c>
      <c r="E49" s="21" t="s">
        <v>132</v>
      </c>
      <c r="F49" s="21" t="s">
        <v>200</v>
      </c>
      <c r="G49" s="21" t="s">
        <v>239</v>
      </c>
      <c r="H49" s="21" t="s">
        <v>43</v>
      </c>
      <c r="I49" s="22">
        <v>3</v>
      </c>
      <c r="J49" s="21" t="s">
        <v>240</v>
      </c>
      <c r="K49" s="24">
        <f>IF(COUNTIFS($C$2:C49,C49)=1,1,0)</f>
        <v>1</v>
      </c>
    </row>
    <row r="50" spans="1:11" s="23" customFormat="1" ht="15" customHeight="1" x14ac:dyDescent="0.25">
      <c r="A50" s="20">
        <v>46258</v>
      </c>
      <c r="B50" s="21" t="s">
        <v>15</v>
      </c>
      <c r="C50" s="21" t="s">
        <v>241</v>
      </c>
      <c r="D50" s="21" t="s">
        <v>242</v>
      </c>
      <c r="E50" s="21" t="s">
        <v>132</v>
      </c>
      <c r="F50" s="21" t="s">
        <v>230</v>
      </c>
      <c r="G50" s="21" t="s">
        <v>243</v>
      </c>
      <c r="H50" s="21" t="s">
        <v>41</v>
      </c>
      <c r="I50" s="22">
        <v>1</v>
      </c>
      <c r="J50" s="21" t="s">
        <v>244</v>
      </c>
      <c r="K50" s="24">
        <f>IF(COUNTIFS($C$2:C50,C50)=1,1,0)</f>
        <v>1</v>
      </c>
    </row>
    <row r="51" spans="1:11" s="23" customFormat="1" ht="15" customHeight="1" x14ac:dyDescent="0.25">
      <c r="A51" s="20">
        <v>46259</v>
      </c>
      <c r="B51" s="21" t="s">
        <v>17</v>
      </c>
      <c r="C51" s="21" t="s">
        <v>245</v>
      </c>
      <c r="D51" s="21" t="s">
        <v>246</v>
      </c>
      <c r="E51" s="21" t="s">
        <v>247</v>
      </c>
      <c r="F51" s="21" t="s">
        <v>248</v>
      </c>
      <c r="G51" s="21" t="s">
        <v>249</v>
      </c>
      <c r="H51" s="21" t="s">
        <v>41</v>
      </c>
      <c r="I51" s="22">
        <v>2</v>
      </c>
      <c r="J51" s="21" t="s">
        <v>59</v>
      </c>
      <c r="K51" s="24">
        <f>IF(COUNTIFS($C$2:C51,C51)=1,1,0)</f>
        <v>1</v>
      </c>
    </row>
    <row r="52" spans="1:11" s="23" customFormat="1" ht="15" customHeight="1" x14ac:dyDescent="0.25">
      <c r="A52" s="20">
        <v>46259</v>
      </c>
      <c r="B52" s="21" t="s">
        <v>15</v>
      </c>
      <c r="C52" s="21" t="s">
        <v>250</v>
      </c>
      <c r="D52" s="21" t="s">
        <v>251</v>
      </c>
      <c r="E52" s="21" t="s">
        <v>252</v>
      </c>
      <c r="F52" s="21" t="s">
        <v>253</v>
      </c>
      <c r="G52" s="21" t="s">
        <v>254</v>
      </c>
      <c r="H52" s="21" t="s">
        <v>41</v>
      </c>
      <c r="I52" s="22">
        <v>6</v>
      </c>
      <c r="J52" s="21" t="s">
        <v>135</v>
      </c>
      <c r="K52" s="24">
        <f>IF(COUNTIFS($C$2:C52,C52)=1,1,0)</f>
        <v>1</v>
      </c>
    </row>
    <row r="53" spans="1:11" s="23" customFormat="1" ht="15" customHeight="1" x14ac:dyDescent="0.25">
      <c r="A53" s="20">
        <v>46259</v>
      </c>
      <c r="B53" s="21" t="s">
        <v>17</v>
      </c>
      <c r="C53" s="21" t="s">
        <v>255</v>
      </c>
      <c r="D53" s="21" t="s">
        <v>256</v>
      </c>
      <c r="E53" s="21" t="s">
        <v>247</v>
      </c>
      <c r="F53" s="21" t="s">
        <v>248</v>
      </c>
      <c r="G53" s="21" t="s">
        <v>257</v>
      </c>
      <c r="H53" s="21" t="s">
        <v>41</v>
      </c>
      <c r="I53" s="22">
        <v>4</v>
      </c>
      <c r="J53" s="21" t="s">
        <v>177</v>
      </c>
      <c r="K53" s="24">
        <f>IF(COUNTIFS($C$2:C53,C53)=1,1,0)</f>
        <v>1</v>
      </c>
    </row>
    <row r="54" spans="1:11" s="23" customFormat="1" ht="15" customHeight="1" x14ac:dyDescent="0.25">
      <c r="A54" s="20">
        <v>46259</v>
      </c>
      <c r="B54" s="21" t="s">
        <v>16</v>
      </c>
      <c r="C54" s="21" t="s">
        <v>258</v>
      </c>
      <c r="D54" s="21" t="s">
        <v>259</v>
      </c>
      <c r="E54" s="21" t="s">
        <v>138</v>
      </c>
      <c r="F54" s="21" t="s">
        <v>260</v>
      </c>
      <c r="G54" s="21" t="s">
        <v>261</v>
      </c>
      <c r="H54" s="21" t="s">
        <v>41</v>
      </c>
      <c r="I54" s="22">
        <v>3</v>
      </c>
      <c r="J54" s="21" t="s">
        <v>262</v>
      </c>
      <c r="K54" s="24">
        <f>IF(COUNTIFS($C$2:C54,C54)=1,1,0)</f>
        <v>1</v>
      </c>
    </row>
    <row r="55" spans="1:11" s="23" customFormat="1" ht="15" customHeight="1" x14ac:dyDescent="0.25">
      <c r="A55" s="20">
        <v>46259</v>
      </c>
      <c r="B55" s="21" t="s">
        <v>16</v>
      </c>
      <c r="C55" s="21" t="s">
        <v>263</v>
      </c>
      <c r="D55" s="21" t="s">
        <v>264</v>
      </c>
      <c r="E55" s="21" t="s">
        <v>138</v>
      </c>
      <c r="F55" s="21" t="s">
        <v>265</v>
      </c>
      <c r="G55" s="21" t="s">
        <v>266</v>
      </c>
      <c r="H55" s="21" t="s">
        <v>41</v>
      </c>
      <c r="I55" s="22">
        <v>2</v>
      </c>
      <c r="J55" s="21" t="s">
        <v>267</v>
      </c>
      <c r="K55" s="24">
        <f>IF(COUNTIFS($C$2:C55,C55)=1,1,0)</f>
        <v>1</v>
      </c>
    </row>
    <row r="56" spans="1:11" s="23" customFormat="1" ht="15" customHeight="1" x14ac:dyDescent="0.25">
      <c r="A56" s="20">
        <v>46259</v>
      </c>
      <c r="B56" s="21" t="s">
        <v>16</v>
      </c>
      <c r="C56" s="21" t="s">
        <v>268</v>
      </c>
      <c r="D56" s="21" t="s">
        <v>269</v>
      </c>
      <c r="E56" s="21" t="s">
        <v>138</v>
      </c>
      <c r="F56" s="21" t="s">
        <v>270</v>
      </c>
      <c r="G56" s="21" t="s">
        <v>271</v>
      </c>
      <c r="H56" s="21" t="s">
        <v>41</v>
      </c>
      <c r="I56" s="22">
        <v>2</v>
      </c>
      <c r="J56" s="21" t="s">
        <v>272</v>
      </c>
      <c r="K56" s="24">
        <f>IF(COUNTIFS($C$2:C56,C56)=1,1,0)</f>
        <v>1</v>
      </c>
    </row>
    <row r="57" spans="1:11" s="23" customFormat="1" ht="15" customHeight="1" x14ac:dyDescent="0.25">
      <c r="A57" s="20">
        <v>46259</v>
      </c>
      <c r="B57" s="21" t="s">
        <v>16</v>
      </c>
      <c r="C57" s="21" t="s">
        <v>273</v>
      </c>
      <c r="D57" s="21" t="s">
        <v>274</v>
      </c>
      <c r="E57" s="21" t="s">
        <v>138</v>
      </c>
      <c r="F57" s="21" t="s">
        <v>265</v>
      </c>
      <c r="G57" s="21" t="s">
        <v>275</v>
      </c>
      <c r="H57" s="21" t="s">
        <v>43</v>
      </c>
      <c r="I57" s="22">
        <v>1</v>
      </c>
      <c r="J57" s="21" t="s">
        <v>223</v>
      </c>
      <c r="K57" s="24">
        <f>IF(COUNTIFS($C$2:C57,C57)=1,1,0)</f>
        <v>1</v>
      </c>
    </row>
    <row r="58" spans="1:11" s="23" customFormat="1" ht="15" customHeight="1" x14ac:dyDescent="0.25">
      <c r="A58" s="20">
        <v>46259</v>
      </c>
      <c r="B58" s="21" t="s">
        <v>15</v>
      </c>
      <c r="C58" s="21" t="s">
        <v>276</v>
      </c>
      <c r="D58" s="21" t="s">
        <v>277</v>
      </c>
      <c r="E58" s="21" t="s">
        <v>252</v>
      </c>
      <c r="F58" s="21" t="s">
        <v>253</v>
      </c>
      <c r="G58" s="21" t="s">
        <v>278</v>
      </c>
      <c r="H58" s="21" t="s">
        <v>43</v>
      </c>
      <c r="I58" s="22">
        <v>1</v>
      </c>
      <c r="J58" s="21" t="s">
        <v>279</v>
      </c>
      <c r="K58" s="24">
        <f>IF(COUNTIFS($C$2:C58,C58)=1,1,0)</f>
        <v>1</v>
      </c>
    </row>
    <row r="59" spans="1:11" s="23" customFormat="1" ht="15" customHeight="1" x14ac:dyDescent="0.25">
      <c r="A59" s="20">
        <v>46259</v>
      </c>
      <c r="B59" s="21" t="s">
        <v>15</v>
      </c>
      <c r="C59" s="21" t="s">
        <v>280</v>
      </c>
      <c r="D59" s="21" t="s">
        <v>281</v>
      </c>
      <c r="E59" s="21" t="s">
        <v>132</v>
      </c>
      <c r="F59" s="21" t="s">
        <v>230</v>
      </c>
      <c r="G59" s="21" t="s">
        <v>282</v>
      </c>
      <c r="H59" s="21" t="s">
        <v>43</v>
      </c>
      <c r="I59" s="22">
        <v>1</v>
      </c>
      <c r="J59" s="21" t="s">
        <v>101</v>
      </c>
      <c r="K59" s="24">
        <f>IF(COUNTIFS($C$2:C59,C59)=1,1,0)</f>
        <v>1</v>
      </c>
    </row>
    <row r="60" spans="1:11" s="23" customFormat="1" ht="15" customHeight="1" x14ac:dyDescent="0.25">
      <c r="A60" s="20">
        <v>46260</v>
      </c>
      <c r="B60" s="21" t="s">
        <v>17</v>
      </c>
      <c r="C60" s="21" t="s">
        <v>245</v>
      </c>
      <c r="D60" s="21" t="s">
        <v>246</v>
      </c>
      <c r="E60" s="21" t="s">
        <v>247</v>
      </c>
      <c r="F60" s="21" t="s">
        <v>248</v>
      </c>
      <c r="G60" s="21" t="s">
        <v>249</v>
      </c>
      <c r="H60" s="21" t="s">
        <v>41</v>
      </c>
      <c r="I60" s="22">
        <v>5</v>
      </c>
      <c r="J60" s="21" t="s">
        <v>283</v>
      </c>
      <c r="K60" s="24">
        <f>IF(COUNTIFS($C$2:C60,C60)=1,1,0)</f>
        <v>0</v>
      </c>
    </row>
    <row r="61" spans="1:11" s="23" customFormat="1" ht="15" customHeight="1" x14ac:dyDescent="0.25">
      <c r="A61" s="20">
        <v>46260</v>
      </c>
      <c r="B61" s="21" t="s">
        <v>15</v>
      </c>
      <c r="C61" s="21" t="s">
        <v>284</v>
      </c>
      <c r="D61" s="21" t="s">
        <v>285</v>
      </c>
      <c r="E61" s="21" t="s">
        <v>252</v>
      </c>
      <c r="F61" s="21" t="s">
        <v>286</v>
      </c>
      <c r="G61" s="21" t="s">
        <v>287</v>
      </c>
      <c r="H61" s="21" t="s">
        <v>41</v>
      </c>
      <c r="I61" s="22">
        <v>5</v>
      </c>
      <c r="J61" s="21" t="s">
        <v>288</v>
      </c>
      <c r="K61" s="24">
        <f>IF(COUNTIFS($C$2:C61,C61)=1,1,0)</f>
        <v>1</v>
      </c>
    </row>
    <row r="62" spans="1:11" s="23" customFormat="1" ht="15" customHeight="1" x14ac:dyDescent="0.25">
      <c r="A62" s="20">
        <v>46260</v>
      </c>
      <c r="B62" s="21" t="s">
        <v>16</v>
      </c>
      <c r="C62" s="21" t="s">
        <v>289</v>
      </c>
      <c r="D62" s="21" t="s">
        <v>290</v>
      </c>
      <c r="E62" s="21" t="s">
        <v>138</v>
      </c>
      <c r="F62" s="21" t="s">
        <v>291</v>
      </c>
      <c r="G62" s="21" t="s">
        <v>292</v>
      </c>
      <c r="H62" s="21" t="s">
        <v>41</v>
      </c>
      <c r="I62" s="22">
        <v>3</v>
      </c>
      <c r="J62" s="21" t="s">
        <v>293</v>
      </c>
      <c r="K62" s="24">
        <f>IF(COUNTIFS($C$2:C62,C62)=1,1,0)</f>
        <v>1</v>
      </c>
    </row>
    <row r="63" spans="1:11" s="23" customFormat="1" ht="15" customHeight="1" x14ac:dyDescent="0.25">
      <c r="A63" s="20">
        <v>46260</v>
      </c>
      <c r="B63" s="21" t="s">
        <v>15</v>
      </c>
      <c r="C63" s="21" t="s">
        <v>294</v>
      </c>
      <c r="D63" s="21" t="s">
        <v>295</v>
      </c>
      <c r="E63" s="21" t="s">
        <v>252</v>
      </c>
      <c r="F63" s="21" t="s">
        <v>286</v>
      </c>
      <c r="G63" s="21" t="s">
        <v>296</v>
      </c>
      <c r="H63" s="21" t="s">
        <v>41</v>
      </c>
      <c r="I63" s="22">
        <v>2</v>
      </c>
      <c r="J63" s="21" t="s">
        <v>297</v>
      </c>
      <c r="K63" s="24">
        <f>IF(COUNTIFS($C$2:C63,C63)=1,1,0)</f>
        <v>1</v>
      </c>
    </row>
    <row r="64" spans="1:11" s="23" customFormat="1" ht="15" customHeight="1" x14ac:dyDescent="0.25">
      <c r="A64" s="20">
        <v>46260</v>
      </c>
      <c r="B64" s="21" t="s">
        <v>16</v>
      </c>
      <c r="C64" s="21" t="s">
        <v>298</v>
      </c>
      <c r="D64" s="21" t="s">
        <v>299</v>
      </c>
      <c r="E64" s="21" t="s">
        <v>138</v>
      </c>
      <c r="F64" s="21" t="s">
        <v>300</v>
      </c>
      <c r="G64" s="21" t="s">
        <v>301</v>
      </c>
      <c r="H64" s="21" t="s">
        <v>41</v>
      </c>
      <c r="I64" s="22">
        <v>1</v>
      </c>
      <c r="J64" s="21" t="s">
        <v>302</v>
      </c>
      <c r="K64" s="24">
        <f>IF(COUNTIFS($C$2:C64,C64)=1,1,0)</f>
        <v>1</v>
      </c>
    </row>
    <row r="65" spans="1:11" s="23" customFormat="1" ht="15" customHeight="1" x14ac:dyDescent="0.25">
      <c r="A65" s="20">
        <v>46260</v>
      </c>
      <c r="B65" s="21" t="s">
        <v>16</v>
      </c>
      <c r="C65" s="21" t="s">
        <v>303</v>
      </c>
      <c r="D65" s="21" t="s">
        <v>304</v>
      </c>
      <c r="E65" s="21" t="s">
        <v>138</v>
      </c>
      <c r="F65" s="21" t="s">
        <v>300</v>
      </c>
      <c r="G65" s="21" t="s">
        <v>305</v>
      </c>
      <c r="H65" s="21" t="s">
        <v>43</v>
      </c>
      <c r="I65" s="22">
        <v>1</v>
      </c>
      <c r="J65" s="21" t="s">
        <v>306</v>
      </c>
      <c r="K65" s="24">
        <f>IF(COUNTIFS($C$2:C65,C65)=1,1,0)</f>
        <v>1</v>
      </c>
    </row>
    <row r="66" spans="1:11" s="23" customFormat="1" ht="15" customHeight="1" x14ac:dyDescent="0.25">
      <c r="A66" s="20">
        <v>46260</v>
      </c>
      <c r="B66" s="21" t="s">
        <v>16</v>
      </c>
      <c r="C66" s="21" t="s">
        <v>307</v>
      </c>
      <c r="D66" s="21" t="s">
        <v>308</v>
      </c>
      <c r="E66" s="21" t="s">
        <v>138</v>
      </c>
      <c r="F66" s="21" t="s">
        <v>260</v>
      </c>
      <c r="G66" s="21" t="s">
        <v>309</v>
      </c>
      <c r="H66" s="21" t="s">
        <v>43</v>
      </c>
      <c r="I66" s="22">
        <v>1</v>
      </c>
      <c r="J66" s="21" t="s">
        <v>310</v>
      </c>
      <c r="K66" s="24">
        <f>IF(COUNTIFS($C$2:C66,C66)=1,1,0)</f>
        <v>1</v>
      </c>
    </row>
    <row r="67" spans="1:11" s="23" customFormat="1" ht="15" customHeight="1" x14ac:dyDescent="0.25">
      <c r="A67" s="20">
        <v>46260</v>
      </c>
      <c r="B67" s="21" t="s">
        <v>15</v>
      </c>
      <c r="C67" s="21" t="s">
        <v>311</v>
      </c>
      <c r="D67" s="21" t="s">
        <v>312</v>
      </c>
      <c r="E67" s="21" t="s">
        <v>252</v>
      </c>
      <c r="F67" s="21" t="s">
        <v>286</v>
      </c>
      <c r="G67" s="21" t="s">
        <v>296</v>
      </c>
      <c r="H67" s="21" t="s">
        <v>43</v>
      </c>
      <c r="I67" s="22">
        <v>1</v>
      </c>
      <c r="J67" s="21" t="s">
        <v>306</v>
      </c>
      <c r="K67" s="24">
        <f>IF(COUNTIFS($C$2:C67,C67)=1,1,0)</f>
        <v>1</v>
      </c>
    </row>
    <row r="68" spans="1:11" s="23" customFormat="1" ht="15" customHeight="1" x14ac:dyDescent="0.25">
      <c r="A68" s="20">
        <v>46261</v>
      </c>
      <c r="B68" s="21" t="s">
        <v>16</v>
      </c>
      <c r="C68" s="21" t="s">
        <v>313</v>
      </c>
      <c r="D68" s="21" t="s">
        <v>314</v>
      </c>
      <c r="E68" s="21" t="s">
        <v>315</v>
      </c>
      <c r="F68" s="21" t="s">
        <v>316</v>
      </c>
      <c r="G68" s="21" t="s">
        <v>317</v>
      </c>
      <c r="H68" s="21" t="s">
        <v>41</v>
      </c>
      <c r="I68" s="22">
        <v>5</v>
      </c>
      <c r="J68" s="21" t="s">
        <v>288</v>
      </c>
      <c r="K68" s="24">
        <f>IF(COUNTIFS($C$2:C68,C68)=1,1,0)</f>
        <v>1</v>
      </c>
    </row>
    <row r="69" spans="1:11" s="23" customFormat="1" ht="15" customHeight="1" x14ac:dyDescent="0.25">
      <c r="A69" s="20">
        <v>46261</v>
      </c>
      <c r="B69" s="21" t="s">
        <v>17</v>
      </c>
      <c r="C69" s="21" t="s">
        <v>318</v>
      </c>
      <c r="D69" s="21" t="s">
        <v>319</v>
      </c>
      <c r="E69" s="21" t="s">
        <v>247</v>
      </c>
      <c r="F69" s="21" t="s">
        <v>320</v>
      </c>
      <c r="G69" s="21" t="s">
        <v>321</v>
      </c>
      <c r="H69" s="21" t="s">
        <v>41</v>
      </c>
      <c r="I69" s="22">
        <v>2</v>
      </c>
      <c r="J69" s="21" t="s">
        <v>59</v>
      </c>
      <c r="K69" s="24">
        <f>IF(COUNTIFS($C$2:C69,C69)=1,1,0)</f>
        <v>1</v>
      </c>
    </row>
    <row r="70" spans="1:11" s="23" customFormat="1" ht="15" customHeight="1" x14ac:dyDescent="0.25">
      <c r="A70" s="20">
        <v>46261</v>
      </c>
      <c r="B70" s="21" t="s">
        <v>17</v>
      </c>
      <c r="C70" s="21" t="s">
        <v>322</v>
      </c>
      <c r="D70" s="21" t="s">
        <v>323</v>
      </c>
      <c r="E70" s="21" t="s">
        <v>247</v>
      </c>
      <c r="F70" s="21" t="s">
        <v>324</v>
      </c>
      <c r="G70" s="21" t="s">
        <v>325</v>
      </c>
      <c r="H70" s="21" t="s">
        <v>41</v>
      </c>
      <c r="I70" s="22">
        <v>3</v>
      </c>
      <c r="J70" s="21" t="s">
        <v>209</v>
      </c>
      <c r="K70" s="24">
        <f>IF(COUNTIFS($C$2:C70,C70)=1,1,0)</f>
        <v>1</v>
      </c>
    </row>
    <row r="71" spans="1:11" s="23" customFormat="1" ht="15" customHeight="1" x14ac:dyDescent="0.25">
      <c r="A71" s="20">
        <v>46261</v>
      </c>
      <c r="B71" s="21" t="s">
        <v>15</v>
      </c>
      <c r="C71" s="21" t="s">
        <v>326</v>
      </c>
      <c r="D71" s="21" t="s">
        <v>327</v>
      </c>
      <c r="E71" s="21" t="s">
        <v>252</v>
      </c>
      <c r="F71" s="21" t="s">
        <v>328</v>
      </c>
      <c r="G71" s="21" t="s">
        <v>329</v>
      </c>
      <c r="H71" s="21" t="s">
        <v>41</v>
      </c>
      <c r="I71" s="22">
        <v>3</v>
      </c>
      <c r="J71" s="21" t="s">
        <v>240</v>
      </c>
      <c r="K71" s="24">
        <f>IF(COUNTIFS($C$2:C71,C71)=1,1,0)</f>
        <v>1</v>
      </c>
    </row>
    <row r="72" spans="1:11" s="23" customFormat="1" ht="15" customHeight="1" x14ac:dyDescent="0.25">
      <c r="A72" s="20">
        <v>46261</v>
      </c>
      <c r="B72" s="21" t="s">
        <v>16</v>
      </c>
      <c r="C72" s="21" t="s">
        <v>330</v>
      </c>
      <c r="D72" s="21" t="s">
        <v>331</v>
      </c>
      <c r="E72" s="21" t="s">
        <v>315</v>
      </c>
      <c r="F72" s="21" t="s">
        <v>316</v>
      </c>
      <c r="G72" s="21" t="s">
        <v>332</v>
      </c>
      <c r="H72" s="21" t="s">
        <v>41</v>
      </c>
      <c r="I72" s="22">
        <v>2</v>
      </c>
      <c r="J72" s="21" t="s">
        <v>297</v>
      </c>
      <c r="K72" s="24">
        <f>IF(COUNTIFS($C$2:C72,C72)=1,1,0)</f>
        <v>1</v>
      </c>
    </row>
    <row r="73" spans="1:11" s="23" customFormat="1" ht="15" customHeight="1" x14ac:dyDescent="0.25">
      <c r="A73" s="20">
        <v>46261</v>
      </c>
      <c r="B73" s="21" t="s">
        <v>16</v>
      </c>
      <c r="C73" s="21" t="s">
        <v>333</v>
      </c>
      <c r="D73" s="21" t="s">
        <v>334</v>
      </c>
      <c r="E73" s="21" t="s">
        <v>315</v>
      </c>
      <c r="F73" s="21" t="s">
        <v>316</v>
      </c>
      <c r="G73" s="21" t="s">
        <v>335</v>
      </c>
      <c r="H73" s="21" t="s">
        <v>43</v>
      </c>
      <c r="I73" s="22">
        <v>2</v>
      </c>
      <c r="J73" s="21" t="s">
        <v>146</v>
      </c>
      <c r="K73" s="24">
        <f>IF(COUNTIFS($C$2:C73,C73)=1,1,0)</f>
        <v>1</v>
      </c>
    </row>
    <row r="74" spans="1:11" s="23" customFormat="1" ht="15" customHeight="1" x14ac:dyDescent="0.25">
      <c r="A74" s="20">
        <v>46261</v>
      </c>
      <c r="B74" s="21" t="s">
        <v>15</v>
      </c>
      <c r="C74" s="21" t="s">
        <v>336</v>
      </c>
      <c r="D74" s="21" t="s">
        <v>337</v>
      </c>
      <c r="E74" s="21" t="s">
        <v>252</v>
      </c>
      <c r="F74" s="21" t="s">
        <v>328</v>
      </c>
      <c r="G74" s="21" t="s">
        <v>338</v>
      </c>
      <c r="H74" s="21" t="s">
        <v>43</v>
      </c>
      <c r="I74" s="22">
        <v>1</v>
      </c>
      <c r="J74" s="21" t="s">
        <v>96</v>
      </c>
      <c r="K74" s="24">
        <f>IF(COUNTIFS($C$2:C74,C74)=1,1,0)</f>
        <v>1</v>
      </c>
    </row>
    <row r="75" spans="1:11" s="23" customFormat="1" ht="15" customHeight="1" x14ac:dyDescent="0.25">
      <c r="A75" s="20">
        <v>46262</v>
      </c>
      <c r="B75" s="21" t="s">
        <v>17</v>
      </c>
      <c r="C75" s="21" t="s">
        <v>318</v>
      </c>
      <c r="D75" s="21" t="s">
        <v>319</v>
      </c>
      <c r="E75" s="21" t="s">
        <v>247</v>
      </c>
      <c r="F75" s="21" t="s">
        <v>320</v>
      </c>
      <c r="G75" s="21" t="s">
        <v>321</v>
      </c>
      <c r="H75" s="21" t="s">
        <v>41</v>
      </c>
      <c r="I75" s="22">
        <v>3</v>
      </c>
      <c r="J75" s="21" t="s">
        <v>209</v>
      </c>
      <c r="K75" s="24">
        <f>IF(COUNTIFS($C$2:C75,C75)=1,1,0)</f>
        <v>0</v>
      </c>
    </row>
    <row r="76" spans="1:11" s="23" customFormat="1" ht="15" customHeight="1" x14ac:dyDescent="0.25">
      <c r="A76" s="20">
        <v>46262</v>
      </c>
      <c r="B76" s="21" t="s">
        <v>15</v>
      </c>
      <c r="C76" s="21" t="s">
        <v>339</v>
      </c>
      <c r="D76" s="21" t="s">
        <v>340</v>
      </c>
      <c r="E76" s="21" t="s">
        <v>341</v>
      </c>
      <c r="F76" s="21" t="s">
        <v>342</v>
      </c>
      <c r="G76" s="21" t="s">
        <v>343</v>
      </c>
      <c r="H76" s="21" t="s">
        <v>41</v>
      </c>
      <c r="I76" s="22">
        <v>4</v>
      </c>
      <c r="J76" s="21" t="s">
        <v>344</v>
      </c>
      <c r="K76" s="24">
        <f>IF(COUNTIFS($C$2:C76,C76)=1,1,0)</f>
        <v>1</v>
      </c>
    </row>
    <row r="77" spans="1:11" s="23" customFormat="1" ht="15" customHeight="1" x14ac:dyDescent="0.25">
      <c r="A77" s="20">
        <v>46262</v>
      </c>
      <c r="B77" s="21" t="s">
        <v>16</v>
      </c>
      <c r="C77" s="21" t="s">
        <v>345</v>
      </c>
      <c r="D77" s="21" t="s">
        <v>346</v>
      </c>
      <c r="E77" s="21" t="s">
        <v>315</v>
      </c>
      <c r="F77" s="21" t="s">
        <v>347</v>
      </c>
      <c r="G77" s="21" t="s">
        <v>348</v>
      </c>
      <c r="H77" s="21" t="s">
        <v>41</v>
      </c>
      <c r="I77" s="22">
        <v>3</v>
      </c>
      <c r="J77" s="21" t="s">
        <v>240</v>
      </c>
      <c r="K77" s="24">
        <f>IF(COUNTIFS($C$2:C77,C77)=1,1,0)</f>
        <v>1</v>
      </c>
    </row>
    <row r="78" spans="1:11" s="23" customFormat="1" ht="15" customHeight="1" x14ac:dyDescent="0.25">
      <c r="A78" s="20">
        <v>46262</v>
      </c>
      <c r="B78" s="21" t="s">
        <v>15</v>
      </c>
      <c r="C78" s="21" t="s">
        <v>349</v>
      </c>
      <c r="D78" s="21" t="s">
        <v>350</v>
      </c>
      <c r="E78" s="21" t="s">
        <v>341</v>
      </c>
      <c r="F78" s="21" t="s">
        <v>351</v>
      </c>
      <c r="G78" s="21" t="s">
        <v>352</v>
      </c>
      <c r="H78" s="21" t="s">
        <v>41</v>
      </c>
      <c r="I78" s="22">
        <v>2</v>
      </c>
      <c r="J78" s="21" t="s">
        <v>353</v>
      </c>
      <c r="K78" s="24">
        <f>IF(COUNTIFS($C$2:C78,C78)=1,1,0)</f>
        <v>1</v>
      </c>
    </row>
    <row r="79" spans="1:11" s="23" customFormat="1" ht="15" customHeight="1" x14ac:dyDescent="0.25">
      <c r="A79" s="20">
        <v>46262</v>
      </c>
      <c r="B79" s="21" t="s">
        <v>16</v>
      </c>
      <c r="C79" s="21" t="s">
        <v>354</v>
      </c>
      <c r="D79" s="21" t="s">
        <v>355</v>
      </c>
      <c r="E79" s="21" t="s">
        <v>315</v>
      </c>
      <c r="F79" s="21" t="s">
        <v>347</v>
      </c>
      <c r="G79" s="21" t="s">
        <v>356</v>
      </c>
      <c r="H79" s="21" t="s">
        <v>43</v>
      </c>
      <c r="I79" s="22">
        <v>1</v>
      </c>
      <c r="J79" s="21" t="s">
        <v>227</v>
      </c>
      <c r="K79" s="24">
        <f>IF(COUNTIFS($C$2:C79,C79)=1,1,0)</f>
        <v>1</v>
      </c>
    </row>
    <row r="80" spans="1:11" s="48" customFormat="1" ht="15" customHeight="1" x14ac:dyDescent="0.25">
      <c r="A80" s="44">
        <v>46265</v>
      </c>
      <c r="B80" s="45" t="s">
        <v>15</v>
      </c>
      <c r="C80" s="45" t="s">
        <v>357</v>
      </c>
      <c r="D80" s="45" t="s">
        <v>358</v>
      </c>
      <c r="E80" s="45" t="s">
        <v>359</v>
      </c>
      <c r="F80" s="45" t="s">
        <v>360</v>
      </c>
      <c r="G80" s="45" t="s">
        <v>361</v>
      </c>
      <c r="H80" s="45" t="s">
        <v>41</v>
      </c>
      <c r="I80" s="46">
        <v>5</v>
      </c>
      <c r="J80" s="45" t="s">
        <v>362</v>
      </c>
      <c r="K80" s="47">
        <f>IF(COUNTIFS($C$2:C80,C80)=1,1,0)</f>
        <v>1</v>
      </c>
    </row>
    <row r="81" spans="1:11" s="48" customFormat="1" ht="15" customHeight="1" x14ac:dyDescent="0.25">
      <c r="A81" s="44">
        <v>46265</v>
      </c>
      <c r="B81" s="45" t="s">
        <v>15</v>
      </c>
      <c r="C81" s="45" t="s">
        <v>363</v>
      </c>
      <c r="D81" s="45" t="s">
        <v>364</v>
      </c>
      <c r="E81" s="45" t="s">
        <v>359</v>
      </c>
      <c r="F81" s="45" t="s">
        <v>365</v>
      </c>
      <c r="G81" s="45" t="s">
        <v>366</v>
      </c>
      <c r="H81" s="45" t="s">
        <v>41</v>
      </c>
      <c r="I81" s="46">
        <v>2</v>
      </c>
      <c r="J81" s="45" t="s">
        <v>367</v>
      </c>
      <c r="K81" s="47">
        <f>IF(COUNTIFS($C$2:C81,C81)=1,1,0)</f>
        <v>1</v>
      </c>
    </row>
    <row r="82" spans="1:11" s="48" customFormat="1" ht="15" customHeight="1" x14ac:dyDescent="0.25">
      <c r="A82" s="44">
        <v>46265</v>
      </c>
      <c r="B82" s="45" t="s">
        <v>15</v>
      </c>
      <c r="C82" s="45" t="s">
        <v>368</v>
      </c>
      <c r="D82" s="45" t="s">
        <v>369</v>
      </c>
      <c r="E82" s="45" t="s">
        <v>359</v>
      </c>
      <c r="F82" s="45" t="s">
        <v>360</v>
      </c>
      <c r="G82" s="45" t="s">
        <v>370</v>
      </c>
      <c r="H82" s="45" t="s">
        <v>43</v>
      </c>
      <c r="I82" s="46">
        <v>2</v>
      </c>
      <c r="J82" s="45" t="s">
        <v>371</v>
      </c>
      <c r="K82" s="47">
        <f>IF(COUNTIFS($C$2:C82,C82)=1,1,0)</f>
        <v>1</v>
      </c>
    </row>
    <row r="83" spans="1:11" s="48" customFormat="1" ht="15" customHeight="1" x14ac:dyDescent="0.25">
      <c r="A83" s="44">
        <v>46265</v>
      </c>
      <c r="B83" s="45" t="s">
        <v>16</v>
      </c>
      <c r="C83" s="45" t="s">
        <v>372</v>
      </c>
      <c r="D83" s="45" t="s">
        <v>373</v>
      </c>
      <c r="E83" s="45" t="s">
        <v>374</v>
      </c>
      <c r="F83" s="45" t="s">
        <v>375</v>
      </c>
      <c r="G83" s="45" t="s">
        <v>376</v>
      </c>
      <c r="H83" s="45" t="s">
        <v>41</v>
      </c>
      <c r="I83" s="46">
        <v>1</v>
      </c>
      <c r="J83" s="45" t="s">
        <v>306</v>
      </c>
      <c r="K83" s="47">
        <f>IF(COUNTIFS($C$2:C83,C83)=1,1,0)</f>
        <v>1</v>
      </c>
    </row>
    <row r="84" spans="1:11" s="48" customFormat="1" ht="15" customHeight="1" x14ac:dyDescent="0.25">
      <c r="A84" s="44">
        <v>46265</v>
      </c>
      <c r="B84" s="45" t="s">
        <v>16</v>
      </c>
      <c r="C84" s="45" t="s">
        <v>377</v>
      </c>
      <c r="D84" s="45" t="s">
        <v>378</v>
      </c>
      <c r="E84" s="45" t="s">
        <v>374</v>
      </c>
      <c r="F84" s="45" t="s">
        <v>375</v>
      </c>
      <c r="G84" s="45" t="s">
        <v>376</v>
      </c>
      <c r="H84" s="45" t="s">
        <v>43</v>
      </c>
      <c r="I84" s="46">
        <v>1</v>
      </c>
      <c r="J84" s="45" t="s">
        <v>244</v>
      </c>
      <c r="K84" s="47">
        <f>IF(COUNTIFS($C$2:C84,C84)=1,1,0)</f>
        <v>1</v>
      </c>
    </row>
    <row r="85" spans="1:11" s="48" customFormat="1" ht="15" customHeight="1" x14ac:dyDescent="0.25">
      <c r="A85" s="44">
        <v>46266</v>
      </c>
      <c r="B85" s="45" t="s">
        <v>15</v>
      </c>
      <c r="C85" s="45" t="s">
        <v>379</v>
      </c>
      <c r="D85" s="45" t="s">
        <v>380</v>
      </c>
      <c r="E85" s="45" t="s">
        <v>359</v>
      </c>
      <c r="F85" s="45" t="s">
        <v>380</v>
      </c>
      <c r="G85" s="45" t="s">
        <v>381</v>
      </c>
      <c r="H85" s="45" t="s">
        <v>40</v>
      </c>
      <c r="I85" s="46">
        <v>9</v>
      </c>
      <c r="J85" s="45" t="s">
        <v>382</v>
      </c>
      <c r="K85" s="47">
        <f>IF(COUNTIFS($C$2:C85,C85)=1,1,0)</f>
        <v>1</v>
      </c>
    </row>
    <row r="86" spans="1:11" s="48" customFormat="1" ht="15" customHeight="1" x14ac:dyDescent="0.25">
      <c r="A86" s="44">
        <v>46266</v>
      </c>
      <c r="B86" s="45" t="s">
        <v>17</v>
      </c>
      <c r="C86" s="45" t="s">
        <v>383</v>
      </c>
      <c r="D86" s="45" t="s">
        <v>384</v>
      </c>
      <c r="E86" s="45" t="s">
        <v>385</v>
      </c>
      <c r="F86" s="45" t="s">
        <v>386</v>
      </c>
      <c r="G86" s="45" t="s">
        <v>387</v>
      </c>
      <c r="H86" s="45" t="s">
        <v>41</v>
      </c>
      <c r="I86" s="46">
        <v>6</v>
      </c>
      <c r="J86" s="45" t="s">
        <v>161</v>
      </c>
      <c r="K86" s="47">
        <f>IF(COUNTIFS($C$2:C86,C86)=1,1,0)</f>
        <v>1</v>
      </c>
    </row>
    <row r="87" spans="1:11" s="48" customFormat="1" ht="15" customHeight="1" x14ac:dyDescent="0.25">
      <c r="A87" s="44">
        <v>46266</v>
      </c>
      <c r="B87" s="45" t="s">
        <v>15</v>
      </c>
      <c r="C87" s="45" t="s">
        <v>388</v>
      </c>
      <c r="D87" s="45" t="s">
        <v>389</v>
      </c>
      <c r="E87" s="45" t="s">
        <v>359</v>
      </c>
      <c r="F87" s="45" t="s">
        <v>360</v>
      </c>
      <c r="G87" s="45" t="s">
        <v>390</v>
      </c>
      <c r="H87" s="45" t="s">
        <v>41</v>
      </c>
      <c r="I87" s="46">
        <v>4</v>
      </c>
      <c r="J87" s="45" t="s">
        <v>391</v>
      </c>
      <c r="K87" s="47">
        <f>IF(COUNTIFS($C$2:C87,C87)=1,1,0)</f>
        <v>1</v>
      </c>
    </row>
    <row r="88" spans="1:11" s="48" customFormat="1" ht="15" customHeight="1" x14ac:dyDescent="0.25">
      <c r="A88" s="44">
        <v>46266</v>
      </c>
      <c r="B88" s="45" t="s">
        <v>16</v>
      </c>
      <c r="C88" s="45" t="s">
        <v>392</v>
      </c>
      <c r="D88" s="45" t="s">
        <v>393</v>
      </c>
      <c r="E88" s="45" t="s">
        <v>374</v>
      </c>
      <c r="F88" s="45" t="s">
        <v>394</v>
      </c>
      <c r="G88" s="45" t="s">
        <v>395</v>
      </c>
      <c r="H88" s="45" t="s">
        <v>41</v>
      </c>
      <c r="I88" s="46">
        <v>4</v>
      </c>
      <c r="J88" s="45" t="s">
        <v>344</v>
      </c>
      <c r="K88" s="47">
        <f>IF(COUNTIFS($C$2:C88,C88)=1,1,0)</f>
        <v>1</v>
      </c>
    </row>
    <row r="89" spans="1:11" s="48" customFormat="1" ht="15" customHeight="1" x14ac:dyDescent="0.25">
      <c r="A89" s="44">
        <v>46266</v>
      </c>
      <c r="B89" s="45" t="s">
        <v>16</v>
      </c>
      <c r="C89" s="45" t="s">
        <v>396</v>
      </c>
      <c r="D89" s="45" t="s">
        <v>397</v>
      </c>
      <c r="E89" s="45" t="s">
        <v>374</v>
      </c>
      <c r="F89" s="45" t="s">
        <v>394</v>
      </c>
      <c r="G89" s="45" t="s">
        <v>398</v>
      </c>
      <c r="H89" s="45" t="s">
        <v>41</v>
      </c>
      <c r="I89" s="46">
        <v>3</v>
      </c>
      <c r="J89" s="45" t="s">
        <v>165</v>
      </c>
      <c r="K89" s="47">
        <f>IF(COUNTIFS($C$2:C89,C89)=1,1,0)</f>
        <v>1</v>
      </c>
    </row>
    <row r="90" spans="1:11" s="48" customFormat="1" ht="15" customHeight="1" x14ac:dyDescent="0.25">
      <c r="A90" s="44">
        <v>46266</v>
      </c>
      <c r="B90" s="45" t="s">
        <v>16</v>
      </c>
      <c r="C90" s="45" t="s">
        <v>399</v>
      </c>
      <c r="D90" s="45" t="s">
        <v>400</v>
      </c>
      <c r="E90" s="45" t="s">
        <v>374</v>
      </c>
      <c r="F90" s="45" t="s">
        <v>394</v>
      </c>
      <c r="G90" s="45" t="s">
        <v>401</v>
      </c>
      <c r="H90" s="45" t="s">
        <v>43</v>
      </c>
      <c r="I90" s="46">
        <v>2</v>
      </c>
      <c r="J90" s="45" t="s">
        <v>353</v>
      </c>
      <c r="K90" s="47">
        <f>IF(COUNTIFS($C$2:C90,C90)=1,1,0)</f>
        <v>1</v>
      </c>
    </row>
    <row r="91" spans="1:11" s="48" customFormat="1" ht="15" customHeight="1" x14ac:dyDescent="0.25">
      <c r="A91" s="44">
        <v>46266</v>
      </c>
      <c r="B91" s="45" t="s">
        <v>16</v>
      </c>
      <c r="C91" s="45" t="s">
        <v>402</v>
      </c>
      <c r="D91" s="45" t="s">
        <v>403</v>
      </c>
      <c r="E91" s="45" t="s">
        <v>374</v>
      </c>
      <c r="F91" s="45" t="s">
        <v>404</v>
      </c>
      <c r="G91" s="45" t="s">
        <v>405</v>
      </c>
      <c r="H91" s="45" t="s">
        <v>43</v>
      </c>
      <c r="I91" s="46">
        <v>1</v>
      </c>
      <c r="J91" s="45" t="s">
        <v>406</v>
      </c>
      <c r="K91" s="47">
        <f>IF(COUNTIFS($C$2:C91,C91)=1,1,0)</f>
        <v>1</v>
      </c>
    </row>
    <row r="92" spans="1:11" s="48" customFormat="1" ht="15" customHeight="1" x14ac:dyDescent="0.25">
      <c r="A92" s="44">
        <v>46267</v>
      </c>
      <c r="B92" s="45" t="s">
        <v>15</v>
      </c>
      <c r="C92" s="45" t="s">
        <v>379</v>
      </c>
      <c r="D92" s="45" t="s">
        <v>380</v>
      </c>
      <c r="E92" s="45" t="s">
        <v>359</v>
      </c>
      <c r="F92" s="45" t="s">
        <v>380</v>
      </c>
      <c r="G92" s="45" t="s">
        <v>381</v>
      </c>
      <c r="H92" s="45" t="s">
        <v>40</v>
      </c>
      <c r="I92" s="46">
        <v>8</v>
      </c>
      <c r="J92" s="45" t="s">
        <v>407</v>
      </c>
      <c r="K92" s="47">
        <f>IF(COUNTIFS($C$2:C92,C92)=1,1,0)</f>
        <v>0</v>
      </c>
    </row>
    <row r="93" spans="1:11" s="48" customFormat="1" ht="15" customHeight="1" x14ac:dyDescent="0.25">
      <c r="A93" s="44">
        <v>46267</v>
      </c>
      <c r="B93" s="45" t="s">
        <v>17</v>
      </c>
      <c r="C93" s="45" t="s">
        <v>408</v>
      </c>
      <c r="D93" s="45" t="s">
        <v>409</v>
      </c>
      <c r="E93" s="45" t="s">
        <v>385</v>
      </c>
      <c r="F93" s="45" t="s">
        <v>386</v>
      </c>
      <c r="G93" s="45" t="s">
        <v>410</v>
      </c>
      <c r="H93" s="45" t="s">
        <v>41</v>
      </c>
      <c r="I93" s="46">
        <v>8</v>
      </c>
      <c r="J93" s="45" t="s">
        <v>161</v>
      </c>
      <c r="K93" s="47">
        <f>IF(COUNTIFS($C$2:C93,C93)=1,1,0)</f>
        <v>1</v>
      </c>
    </row>
    <row r="94" spans="1:11" s="48" customFormat="1" ht="15" customHeight="1" x14ac:dyDescent="0.25">
      <c r="A94" s="44">
        <v>46267</v>
      </c>
      <c r="B94" s="45" t="s">
        <v>15</v>
      </c>
      <c r="C94" s="45" t="s">
        <v>411</v>
      </c>
      <c r="D94" s="45" t="s">
        <v>412</v>
      </c>
      <c r="E94" s="45" t="s">
        <v>359</v>
      </c>
      <c r="F94" s="45" t="s">
        <v>413</v>
      </c>
      <c r="G94" s="45" t="s">
        <v>414</v>
      </c>
      <c r="H94" s="45" t="s">
        <v>41</v>
      </c>
      <c r="I94" s="46">
        <v>4</v>
      </c>
      <c r="J94" s="45" t="s">
        <v>415</v>
      </c>
      <c r="K94" s="47">
        <f>IF(COUNTIFS($C$2:C94,C94)=1,1,0)</f>
        <v>1</v>
      </c>
    </row>
    <row r="95" spans="1:11" s="48" customFormat="1" ht="15" customHeight="1" x14ac:dyDescent="0.25">
      <c r="A95" s="44">
        <v>46267</v>
      </c>
      <c r="B95" s="45" t="s">
        <v>16</v>
      </c>
      <c r="C95" s="45" t="s">
        <v>416</v>
      </c>
      <c r="D95" s="45" t="s">
        <v>417</v>
      </c>
      <c r="E95" s="45" t="s">
        <v>374</v>
      </c>
      <c r="F95" s="45" t="s">
        <v>418</v>
      </c>
      <c r="G95" s="45" t="s">
        <v>419</v>
      </c>
      <c r="H95" s="45" t="s">
        <v>41</v>
      </c>
      <c r="I95" s="46">
        <v>2</v>
      </c>
      <c r="J95" s="45" t="s">
        <v>420</v>
      </c>
      <c r="K95" s="47">
        <f>IF(COUNTIFS($C$2:C95,C95)=1,1,0)</f>
        <v>1</v>
      </c>
    </row>
    <row r="96" spans="1:11" s="48" customFormat="1" ht="15" customHeight="1" x14ac:dyDescent="0.25">
      <c r="A96" s="44">
        <v>46267</v>
      </c>
      <c r="B96" s="45" t="s">
        <v>16</v>
      </c>
      <c r="C96" s="45" t="s">
        <v>421</v>
      </c>
      <c r="D96" s="45" t="s">
        <v>422</v>
      </c>
      <c r="E96" s="45" t="s">
        <v>374</v>
      </c>
      <c r="F96" s="45" t="s">
        <v>423</v>
      </c>
      <c r="G96" s="45" t="s">
        <v>424</v>
      </c>
      <c r="H96" s="45" t="s">
        <v>41</v>
      </c>
      <c r="I96" s="46">
        <v>1</v>
      </c>
      <c r="J96" s="45" t="s">
        <v>310</v>
      </c>
      <c r="K96" s="47">
        <f>IF(COUNTIFS($C$2:C96,C96)=1,1,0)</f>
        <v>1</v>
      </c>
    </row>
    <row r="97" spans="1:11" s="48" customFormat="1" ht="15" customHeight="1" x14ac:dyDescent="0.25">
      <c r="A97" s="44">
        <v>46267</v>
      </c>
      <c r="B97" s="45" t="s">
        <v>16</v>
      </c>
      <c r="C97" s="45" t="s">
        <v>425</v>
      </c>
      <c r="D97" s="45" t="s">
        <v>426</v>
      </c>
      <c r="E97" s="45" t="s">
        <v>374</v>
      </c>
      <c r="F97" s="45" t="s">
        <v>427</v>
      </c>
      <c r="G97" s="45" t="s">
        <v>428</v>
      </c>
      <c r="H97" s="45" t="s">
        <v>41</v>
      </c>
      <c r="I97" s="46">
        <v>1</v>
      </c>
      <c r="J97" s="45" t="s">
        <v>429</v>
      </c>
      <c r="K97" s="47">
        <f>IF(COUNTIFS($C$2:C97,C97)=1,1,0)</f>
        <v>1</v>
      </c>
    </row>
    <row r="98" spans="1:11" s="48" customFormat="1" ht="15" customHeight="1" x14ac:dyDescent="0.25">
      <c r="A98" s="44">
        <v>46267</v>
      </c>
      <c r="B98" s="45" t="s">
        <v>16</v>
      </c>
      <c r="C98" s="45" t="s">
        <v>430</v>
      </c>
      <c r="D98" s="45" t="s">
        <v>431</v>
      </c>
      <c r="E98" s="45" t="s">
        <v>374</v>
      </c>
      <c r="F98" s="45" t="s">
        <v>432</v>
      </c>
      <c r="G98" s="45" t="s">
        <v>433</v>
      </c>
      <c r="H98" s="45" t="s">
        <v>43</v>
      </c>
      <c r="I98" s="46">
        <v>1</v>
      </c>
      <c r="J98" s="45" t="s">
        <v>434</v>
      </c>
      <c r="K98" s="47">
        <f>IF(COUNTIFS($C$2:C98,C98)=1,1,0)</f>
        <v>1</v>
      </c>
    </row>
    <row r="99" spans="1:11" s="48" customFormat="1" ht="15" customHeight="1" x14ac:dyDescent="0.25">
      <c r="A99" s="44">
        <v>46268</v>
      </c>
      <c r="B99" s="45" t="s">
        <v>15</v>
      </c>
      <c r="C99" s="45" t="s">
        <v>435</v>
      </c>
      <c r="D99" s="45" t="s">
        <v>436</v>
      </c>
      <c r="E99" s="45" t="s">
        <v>359</v>
      </c>
      <c r="F99" s="45" t="s">
        <v>437</v>
      </c>
      <c r="G99" s="45" t="s">
        <v>438</v>
      </c>
      <c r="H99" s="45" t="s">
        <v>40</v>
      </c>
      <c r="I99" s="46">
        <v>5</v>
      </c>
      <c r="J99" s="45" t="s">
        <v>362</v>
      </c>
      <c r="K99" s="47">
        <f>IF(COUNTIFS($C$2:C99,C99)=1,1,0)</f>
        <v>1</v>
      </c>
    </row>
    <row r="100" spans="1:11" s="48" customFormat="1" ht="15" customHeight="1" x14ac:dyDescent="0.25">
      <c r="A100" s="44">
        <v>46268</v>
      </c>
      <c r="B100" s="45" t="s">
        <v>17</v>
      </c>
      <c r="C100" s="45" t="s">
        <v>439</v>
      </c>
      <c r="D100" s="45" t="s">
        <v>440</v>
      </c>
      <c r="E100" s="45" t="s">
        <v>385</v>
      </c>
      <c r="F100" s="45" t="s">
        <v>386</v>
      </c>
      <c r="G100" s="45" t="s">
        <v>441</v>
      </c>
      <c r="H100" s="45" t="s">
        <v>41</v>
      </c>
      <c r="I100" s="46">
        <v>3</v>
      </c>
      <c r="J100" s="45" t="s">
        <v>209</v>
      </c>
      <c r="K100" s="47">
        <f>IF(COUNTIFS($C$2:C100,C100)=1,1,0)</f>
        <v>1</v>
      </c>
    </row>
    <row r="101" spans="1:11" s="48" customFormat="1" ht="15" customHeight="1" x14ac:dyDescent="0.25">
      <c r="A101" s="44">
        <v>46268</v>
      </c>
      <c r="B101" s="45" t="s">
        <v>15</v>
      </c>
      <c r="C101" s="45" t="s">
        <v>442</v>
      </c>
      <c r="D101" s="45" t="s">
        <v>443</v>
      </c>
      <c r="E101" s="45" t="s">
        <v>359</v>
      </c>
      <c r="F101" s="45" t="s">
        <v>413</v>
      </c>
      <c r="G101" s="45" t="s">
        <v>444</v>
      </c>
      <c r="H101" s="45" t="s">
        <v>43</v>
      </c>
      <c r="I101" s="46">
        <v>2</v>
      </c>
      <c r="J101" s="45" t="s">
        <v>445</v>
      </c>
      <c r="K101" s="47">
        <f>IF(COUNTIFS($C$2:C101,C101)=1,1,0)</f>
        <v>1</v>
      </c>
    </row>
    <row r="102" spans="1:11" s="48" customFormat="1" ht="15" customHeight="1" x14ac:dyDescent="0.25">
      <c r="A102" s="44">
        <v>46268</v>
      </c>
      <c r="B102" s="45" t="s">
        <v>15</v>
      </c>
      <c r="C102" s="45" t="s">
        <v>446</v>
      </c>
      <c r="D102" s="45" t="s">
        <v>447</v>
      </c>
      <c r="E102" s="45" t="s">
        <v>359</v>
      </c>
      <c r="F102" s="45" t="s">
        <v>413</v>
      </c>
      <c r="G102" s="45" t="s">
        <v>448</v>
      </c>
      <c r="H102" s="45" t="s">
        <v>41</v>
      </c>
      <c r="I102" s="46">
        <v>1</v>
      </c>
      <c r="J102" s="45" t="s">
        <v>310</v>
      </c>
      <c r="K102" s="47">
        <f>IF(COUNTIFS($C$2:C102,C102)=1,1,0)</f>
        <v>1</v>
      </c>
    </row>
    <row r="103" spans="1:11" s="48" customFormat="1" ht="15" customHeight="1" x14ac:dyDescent="0.25">
      <c r="A103" s="44">
        <v>46268</v>
      </c>
      <c r="B103" s="45" t="s">
        <v>17</v>
      </c>
      <c r="C103" s="45" t="s">
        <v>449</v>
      </c>
      <c r="D103" s="45" t="s">
        <v>450</v>
      </c>
      <c r="E103" s="45" t="s">
        <v>385</v>
      </c>
      <c r="F103" s="45" t="s">
        <v>386</v>
      </c>
      <c r="G103" s="45" t="s">
        <v>451</v>
      </c>
      <c r="H103" s="45" t="s">
        <v>41</v>
      </c>
      <c r="I103" s="46">
        <v>4</v>
      </c>
      <c r="J103" s="45" t="s">
        <v>78</v>
      </c>
      <c r="K103" s="47">
        <f>IF(COUNTIFS($C$2:C103,C103)=1,1,0)</f>
        <v>1</v>
      </c>
    </row>
    <row r="104" spans="1:11" s="60" customFormat="1" ht="15" customHeight="1" x14ac:dyDescent="0.25">
      <c r="A104" s="56">
        <v>46272</v>
      </c>
      <c r="B104" s="57" t="s">
        <v>15</v>
      </c>
      <c r="C104" s="57" t="s">
        <v>452</v>
      </c>
      <c r="D104" s="57" t="s">
        <v>453</v>
      </c>
      <c r="E104" s="57" t="s">
        <v>359</v>
      </c>
      <c r="F104" s="57" t="s">
        <v>454</v>
      </c>
      <c r="G104" s="57" t="s">
        <v>455</v>
      </c>
      <c r="H104" s="57" t="s">
        <v>41</v>
      </c>
      <c r="I104" s="58">
        <v>4</v>
      </c>
      <c r="J104" s="57" t="s">
        <v>415</v>
      </c>
      <c r="K104" s="59">
        <f>IF(COUNTIFS($C$2:C104,C104)=1,1,0)</f>
        <v>1</v>
      </c>
    </row>
    <row r="105" spans="1:11" s="60" customFormat="1" ht="15" customHeight="1" x14ac:dyDescent="0.25">
      <c r="A105" s="56">
        <v>46272</v>
      </c>
      <c r="B105" s="57" t="s">
        <v>16</v>
      </c>
      <c r="C105" s="57" t="s">
        <v>456</v>
      </c>
      <c r="D105" s="57" t="s">
        <v>457</v>
      </c>
      <c r="E105" s="57" t="s">
        <v>458</v>
      </c>
      <c r="F105" s="57" t="s">
        <v>459</v>
      </c>
      <c r="G105" s="57" t="s">
        <v>460</v>
      </c>
      <c r="H105" s="57" t="s">
        <v>41</v>
      </c>
      <c r="I105" s="58">
        <v>2</v>
      </c>
      <c r="J105" s="57" t="s">
        <v>146</v>
      </c>
      <c r="K105" s="59">
        <f>IF(COUNTIFS($C$2:C105,C105)=1,1,0)</f>
        <v>1</v>
      </c>
    </row>
    <row r="106" spans="1:11" s="60" customFormat="1" ht="15" customHeight="1" x14ac:dyDescent="0.25">
      <c r="A106" s="56">
        <v>46272</v>
      </c>
      <c r="B106" s="57" t="s">
        <v>15</v>
      </c>
      <c r="C106" s="57" t="s">
        <v>461</v>
      </c>
      <c r="D106" s="57" t="s">
        <v>462</v>
      </c>
      <c r="E106" s="57" t="s">
        <v>359</v>
      </c>
      <c r="F106" s="57" t="s">
        <v>463</v>
      </c>
      <c r="G106" s="57" t="s">
        <v>464</v>
      </c>
      <c r="H106" s="57" t="s">
        <v>41</v>
      </c>
      <c r="I106" s="58">
        <v>2</v>
      </c>
      <c r="J106" s="57" t="s">
        <v>465</v>
      </c>
      <c r="K106" s="59">
        <f>IF(COUNTIFS($C$2:C106,C106)=1,1,0)</f>
        <v>1</v>
      </c>
    </row>
    <row r="107" spans="1:11" s="60" customFormat="1" ht="15" customHeight="1" x14ac:dyDescent="0.25">
      <c r="A107" s="56">
        <v>46273</v>
      </c>
      <c r="B107" s="57" t="s">
        <v>17</v>
      </c>
      <c r="C107" s="57" t="s">
        <v>466</v>
      </c>
      <c r="D107" s="57" t="s">
        <v>467</v>
      </c>
      <c r="E107" s="57" t="s">
        <v>385</v>
      </c>
      <c r="F107" s="57" t="s">
        <v>468</v>
      </c>
      <c r="G107" s="57" t="s">
        <v>469</v>
      </c>
      <c r="H107" s="57" t="s">
        <v>41</v>
      </c>
      <c r="I107" s="58">
        <v>6</v>
      </c>
      <c r="J107" s="57" t="s">
        <v>161</v>
      </c>
      <c r="K107" s="59">
        <f>IF(COUNTIFS($C$2:C107,C107)=1,1,0)</f>
        <v>1</v>
      </c>
    </row>
    <row r="108" spans="1:11" s="60" customFormat="1" ht="15" customHeight="1" x14ac:dyDescent="0.25">
      <c r="A108" s="56">
        <v>46273</v>
      </c>
      <c r="B108" s="57" t="s">
        <v>15</v>
      </c>
      <c r="C108" s="57" t="s">
        <v>470</v>
      </c>
      <c r="D108" s="57" t="s">
        <v>471</v>
      </c>
      <c r="E108" s="57" t="s">
        <v>359</v>
      </c>
      <c r="F108" s="57" t="s">
        <v>472</v>
      </c>
      <c r="G108" s="57" t="s">
        <v>473</v>
      </c>
      <c r="H108" s="57" t="s">
        <v>41</v>
      </c>
      <c r="I108" s="58">
        <v>4</v>
      </c>
      <c r="J108" s="57" t="s">
        <v>344</v>
      </c>
      <c r="K108" s="59">
        <f>IF(COUNTIFS($C$2:C108,C108)=1,1,0)</f>
        <v>1</v>
      </c>
    </row>
    <row r="109" spans="1:11" s="60" customFormat="1" ht="15" customHeight="1" x14ac:dyDescent="0.25">
      <c r="A109" s="56">
        <v>46273</v>
      </c>
      <c r="B109" s="57" t="s">
        <v>16</v>
      </c>
      <c r="C109" s="57" t="s">
        <v>474</v>
      </c>
      <c r="D109" s="57" t="s">
        <v>475</v>
      </c>
      <c r="E109" s="57" t="s">
        <v>458</v>
      </c>
      <c r="F109" s="57" t="s">
        <v>476</v>
      </c>
      <c r="G109" s="57" t="s">
        <v>477</v>
      </c>
      <c r="H109" s="57" t="s">
        <v>41</v>
      </c>
      <c r="I109" s="58">
        <v>3</v>
      </c>
      <c r="J109" s="57" t="s">
        <v>141</v>
      </c>
      <c r="K109" s="59">
        <f>IF(COUNTIFS($C$2:C109,C109)=1,1,0)</f>
        <v>1</v>
      </c>
    </row>
    <row r="110" spans="1:11" s="60" customFormat="1" ht="15" customHeight="1" x14ac:dyDescent="0.25">
      <c r="A110" s="56">
        <v>46273</v>
      </c>
      <c r="B110" s="57" t="s">
        <v>16</v>
      </c>
      <c r="C110" s="57" t="s">
        <v>478</v>
      </c>
      <c r="D110" s="57" t="s">
        <v>479</v>
      </c>
      <c r="E110" s="57" t="s">
        <v>458</v>
      </c>
      <c r="F110" s="57" t="s">
        <v>480</v>
      </c>
      <c r="G110" s="57" t="s">
        <v>481</v>
      </c>
      <c r="H110" s="57" t="s">
        <v>41</v>
      </c>
      <c r="I110" s="58">
        <v>3</v>
      </c>
      <c r="J110" s="57" t="s">
        <v>240</v>
      </c>
      <c r="K110" s="59">
        <f>IF(COUNTIFS($C$2:C110,C110)=1,1,0)</f>
        <v>1</v>
      </c>
    </row>
    <row r="111" spans="1:11" s="60" customFormat="1" ht="15" customHeight="1" x14ac:dyDescent="0.25">
      <c r="A111" s="56">
        <v>46273</v>
      </c>
      <c r="B111" s="57" t="s">
        <v>15</v>
      </c>
      <c r="C111" s="57" t="s">
        <v>482</v>
      </c>
      <c r="D111" s="57" t="s">
        <v>483</v>
      </c>
      <c r="E111" s="57" t="s">
        <v>359</v>
      </c>
      <c r="F111" s="57" t="s">
        <v>484</v>
      </c>
      <c r="G111" s="57" t="s">
        <v>485</v>
      </c>
      <c r="H111" s="57" t="s">
        <v>41</v>
      </c>
      <c r="I111" s="58">
        <v>2</v>
      </c>
      <c r="J111" s="57" t="s">
        <v>172</v>
      </c>
      <c r="K111" s="59">
        <f>IF(COUNTIFS($C$2:C111,C111)=1,1,0)</f>
        <v>1</v>
      </c>
    </row>
    <row r="112" spans="1:11" s="60" customFormat="1" ht="15" customHeight="1" x14ac:dyDescent="0.25">
      <c r="A112" s="56">
        <v>46273</v>
      </c>
      <c r="B112" s="57" t="s">
        <v>15</v>
      </c>
      <c r="C112" s="57" t="s">
        <v>486</v>
      </c>
      <c r="D112" s="57" t="s">
        <v>487</v>
      </c>
      <c r="E112" s="57" t="s">
        <v>359</v>
      </c>
      <c r="F112" s="57" t="s">
        <v>454</v>
      </c>
      <c r="G112" s="57" t="s">
        <v>488</v>
      </c>
      <c r="H112" s="57" t="s">
        <v>43</v>
      </c>
      <c r="I112" s="58">
        <v>1</v>
      </c>
      <c r="J112" s="57" t="s">
        <v>310</v>
      </c>
      <c r="K112" s="59">
        <f>IF(COUNTIFS($C$2:C112,C112)=1,1,0)</f>
        <v>1</v>
      </c>
    </row>
    <row r="113" spans="1:11" s="60" customFormat="1" ht="15" customHeight="1" x14ac:dyDescent="0.25">
      <c r="A113" s="56">
        <v>46273</v>
      </c>
      <c r="B113" s="57" t="s">
        <v>15</v>
      </c>
      <c r="C113" s="57" t="s">
        <v>489</v>
      </c>
      <c r="D113" s="57" t="s">
        <v>490</v>
      </c>
      <c r="E113" s="57" t="s">
        <v>359</v>
      </c>
      <c r="F113" s="57" t="s">
        <v>472</v>
      </c>
      <c r="G113" s="57" t="s">
        <v>491</v>
      </c>
      <c r="H113" s="57" t="s">
        <v>43</v>
      </c>
      <c r="I113" s="58">
        <v>1</v>
      </c>
      <c r="J113" s="57" t="s">
        <v>279</v>
      </c>
      <c r="K113" s="59">
        <f>IF(COUNTIFS($C$2:C113,C113)=1,1,0)</f>
        <v>1</v>
      </c>
    </row>
    <row r="114" spans="1:11" s="60" customFormat="1" ht="15" customHeight="1" x14ac:dyDescent="0.25">
      <c r="A114" s="56">
        <v>46274</v>
      </c>
      <c r="B114" s="57" t="s">
        <v>17</v>
      </c>
      <c r="C114" s="57" t="s">
        <v>466</v>
      </c>
      <c r="D114" s="57" t="s">
        <v>467</v>
      </c>
      <c r="E114" s="57" t="s">
        <v>385</v>
      </c>
      <c r="F114" s="57" t="s">
        <v>468</v>
      </c>
      <c r="G114" s="57" t="s">
        <v>469</v>
      </c>
      <c r="H114" s="57" t="s">
        <v>41</v>
      </c>
      <c r="I114" s="58">
        <v>2</v>
      </c>
      <c r="J114" s="57" t="s">
        <v>240</v>
      </c>
      <c r="K114" s="59">
        <f>IF(COUNTIFS($C$2:C114,C114)=1,1,0)</f>
        <v>0</v>
      </c>
    </row>
    <row r="115" spans="1:11" s="60" customFormat="1" ht="15" customHeight="1" x14ac:dyDescent="0.25">
      <c r="A115" s="56">
        <v>46274</v>
      </c>
      <c r="B115" s="57" t="s">
        <v>15</v>
      </c>
      <c r="C115" s="57" t="s">
        <v>492</v>
      </c>
      <c r="D115" s="57" t="s">
        <v>493</v>
      </c>
      <c r="E115" s="57" t="s">
        <v>359</v>
      </c>
      <c r="F115" s="57" t="s">
        <v>494</v>
      </c>
      <c r="G115" s="57" t="s">
        <v>495</v>
      </c>
      <c r="H115" s="57" t="s">
        <v>41</v>
      </c>
      <c r="I115" s="58">
        <v>7</v>
      </c>
      <c r="J115" s="57" t="s">
        <v>496</v>
      </c>
      <c r="K115" s="59">
        <f>IF(COUNTIFS($C$2:C115,C115)=1,1,0)</f>
        <v>1</v>
      </c>
    </row>
    <row r="116" spans="1:11" s="60" customFormat="1" ht="15" customHeight="1" x14ac:dyDescent="0.25">
      <c r="A116" s="56">
        <v>46274</v>
      </c>
      <c r="B116" s="57" t="s">
        <v>16</v>
      </c>
      <c r="C116" s="57" t="s">
        <v>497</v>
      </c>
      <c r="D116" s="57" t="s">
        <v>498</v>
      </c>
      <c r="E116" s="57" t="s">
        <v>458</v>
      </c>
      <c r="F116" s="57" t="s">
        <v>499</v>
      </c>
      <c r="G116" s="57" t="s">
        <v>500</v>
      </c>
      <c r="H116" s="57" t="s">
        <v>41</v>
      </c>
      <c r="I116" s="58">
        <v>5</v>
      </c>
      <c r="J116" s="57" t="s">
        <v>182</v>
      </c>
      <c r="K116" s="59">
        <f>IF(COUNTIFS($C$2:C116,C116)=1,1,0)</f>
        <v>1</v>
      </c>
    </row>
    <row r="117" spans="1:11" s="60" customFormat="1" ht="15" customHeight="1" x14ac:dyDescent="0.25">
      <c r="A117" s="56">
        <v>46274</v>
      </c>
      <c r="B117" s="57" t="s">
        <v>16</v>
      </c>
      <c r="C117" s="57" t="s">
        <v>501</v>
      </c>
      <c r="D117" s="57" t="s">
        <v>502</v>
      </c>
      <c r="E117" s="57" t="s">
        <v>458</v>
      </c>
      <c r="F117" s="57" t="s">
        <v>503</v>
      </c>
      <c r="G117" s="57" t="s">
        <v>504</v>
      </c>
      <c r="H117" s="57" t="s">
        <v>41</v>
      </c>
      <c r="I117" s="58">
        <v>4</v>
      </c>
      <c r="J117" s="57" t="s">
        <v>415</v>
      </c>
      <c r="K117" s="59">
        <f>IF(COUNTIFS($C$2:C117,C117)=1,1,0)</f>
        <v>1</v>
      </c>
    </row>
    <row r="118" spans="1:11" s="60" customFormat="1" ht="15" customHeight="1" x14ac:dyDescent="0.25">
      <c r="A118" s="56">
        <v>46274</v>
      </c>
      <c r="B118" s="57" t="s">
        <v>17</v>
      </c>
      <c r="C118" s="57" t="s">
        <v>505</v>
      </c>
      <c r="D118" s="57" t="s">
        <v>506</v>
      </c>
      <c r="E118" s="57" t="s">
        <v>385</v>
      </c>
      <c r="F118" s="57" t="s">
        <v>507</v>
      </c>
      <c r="G118" s="57" t="s">
        <v>508</v>
      </c>
      <c r="H118" s="57" t="s">
        <v>41</v>
      </c>
      <c r="I118" s="58">
        <v>1</v>
      </c>
      <c r="J118" s="57" t="s">
        <v>371</v>
      </c>
      <c r="K118" s="59">
        <f>IF(COUNTIFS($C$2:C118,C118)=1,1,0)</f>
        <v>1</v>
      </c>
    </row>
    <row r="119" spans="1:11" s="60" customFormat="1" ht="15" customHeight="1" x14ac:dyDescent="0.25">
      <c r="A119" s="56">
        <v>46274</v>
      </c>
      <c r="B119" s="57" t="s">
        <v>16</v>
      </c>
      <c r="C119" s="57" t="s">
        <v>509</v>
      </c>
      <c r="D119" s="57" t="s">
        <v>510</v>
      </c>
      <c r="E119" s="57" t="s">
        <v>458</v>
      </c>
      <c r="F119" s="57" t="s">
        <v>499</v>
      </c>
      <c r="G119" s="57" t="s">
        <v>511</v>
      </c>
      <c r="H119" s="57" t="s">
        <v>43</v>
      </c>
      <c r="I119" s="58">
        <v>2</v>
      </c>
      <c r="J119" s="57" t="s">
        <v>512</v>
      </c>
      <c r="K119" s="59">
        <f>IF(COUNTIFS($C$2:C119,C119)=1,1,0)</f>
        <v>1</v>
      </c>
    </row>
    <row r="120" spans="1:11" s="60" customFormat="1" ht="15" customHeight="1" x14ac:dyDescent="0.25">
      <c r="A120" s="56">
        <v>46274</v>
      </c>
      <c r="B120" s="57" t="s">
        <v>15</v>
      </c>
      <c r="C120" s="57" t="s">
        <v>513</v>
      </c>
      <c r="D120" s="57" t="s">
        <v>514</v>
      </c>
      <c r="E120" s="57" t="s">
        <v>359</v>
      </c>
      <c r="F120" s="57" t="s">
        <v>515</v>
      </c>
      <c r="G120" s="57" t="s">
        <v>516</v>
      </c>
      <c r="H120" s="57" t="s">
        <v>41</v>
      </c>
      <c r="I120" s="58">
        <v>1</v>
      </c>
      <c r="J120" s="57" t="s">
        <v>310</v>
      </c>
      <c r="K120" s="59">
        <f>IF(COUNTIFS($C$2:C120,C120)=1,1,0)</f>
        <v>1</v>
      </c>
    </row>
    <row r="121" spans="1:11" s="60" customFormat="1" ht="15" customHeight="1" x14ac:dyDescent="0.25">
      <c r="A121" s="56">
        <v>46274</v>
      </c>
      <c r="B121" s="57" t="s">
        <v>17</v>
      </c>
      <c r="C121" s="57" t="s">
        <v>517</v>
      </c>
      <c r="D121" s="57" t="s">
        <v>518</v>
      </c>
      <c r="E121" s="57" t="s">
        <v>385</v>
      </c>
      <c r="F121" s="57" t="s">
        <v>519</v>
      </c>
      <c r="G121" s="57" t="s">
        <v>520</v>
      </c>
      <c r="H121" s="57" t="s">
        <v>41</v>
      </c>
      <c r="I121" s="58">
        <v>1</v>
      </c>
      <c r="J121" s="57" t="s">
        <v>521</v>
      </c>
      <c r="K121" s="59">
        <f>IF(COUNTIFS($C$2:C121,C121)=1,1,0)</f>
        <v>1</v>
      </c>
    </row>
    <row r="122" spans="1:11" s="60" customFormat="1" ht="15" customHeight="1" x14ac:dyDescent="0.25">
      <c r="A122" s="56">
        <v>46275</v>
      </c>
      <c r="B122" s="57" t="s">
        <v>15</v>
      </c>
      <c r="C122" s="57" t="s">
        <v>522</v>
      </c>
      <c r="D122" s="57" t="s">
        <v>523</v>
      </c>
      <c r="E122" s="57" t="s">
        <v>359</v>
      </c>
      <c r="F122" s="57" t="s">
        <v>524</v>
      </c>
      <c r="G122" s="57" t="s">
        <v>525</v>
      </c>
      <c r="H122" s="57" t="s">
        <v>40</v>
      </c>
      <c r="I122" s="58">
        <v>12</v>
      </c>
      <c r="J122" s="57" t="s">
        <v>526</v>
      </c>
      <c r="K122" s="59">
        <f>IF(COUNTIFS($C$2:C122,C122)=1,1,0)</f>
        <v>1</v>
      </c>
    </row>
    <row r="123" spans="1:11" s="60" customFormat="1" ht="15" customHeight="1" x14ac:dyDescent="0.25">
      <c r="A123" s="56">
        <v>46275</v>
      </c>
      <c r="B123" s="57" t="s">
        <v>16</v>
      </c>
      <c r="C123" s="57" t="s">
        <v>527</v>
      </c>
      <c r="D123" s="57" t="s">
        <v>528</v>
      </c>
      <c r="E123" s="57" t="s">
        <v>458</v>
      </c>
      <c r="F123" s="57" t="s">
        <v>499</v>
      </c>
      <c r="G123" s="57" t="s">
        <v>529</v>
      </c>
      <c r="H123" s="57" t="s">
        <v>41</v>
      </c>
      <c r="I123" s="58">
        <v>4</v>
      </c>
      <c r="J123" s="57" t="s">
        <v>391</v>
      </c>
      <c r="K123" s="59">
        <f>IF(COUNTIFS($C$2:C123,C123)=1,1,0)</f>
        <v>1</v>
      </c>
    </row>
    <row r="124" spans="1:11" s="60" customFormat="1" ht="15" customHeight="1" x14ac:dyDescent="0.25">
      <c r="A124" s="56">
        <v>46275</v>
      </c>
      <c r="B124" s="57" t="s">
        <v>17</v>
      </c>
      <c r="C124" s="57" t="s">
        <v>505</v>
      </c>
      <c r="D124" s="57" t="s">
        <v>506</v>
      </c>
      <c r="E124" s="57" t="s">
        <v>385</v>
      </c>
      <c r="F124" s="57" t="s">
        <v>507</v>
      </c>
      <c r="G124" s="57" t="s">
        <v>508</v>
      </c>
      <c r="H124" s="57" t="s">
        <v>41</v>
      </c>
      <c r="I124" s="58">
        <v>3</v>
      </c>
      <c r="J124" s="57" t="s">
        <v>209</v>
      </c>
      <c r="K124" s="59">
        <f>IF(COUNTIFS($C$2:C124,C124)=1,1,0)</f>
        <v>0</v>
      </c>
    </row>
    <row r="125" spans="1:11" s="60" customFormat="1" ht="15" customHeight="1" x14ac:dyDescent="0.25">
      <c r="A125" s="56">
        <v>46275</v>
      </c>
      <c r="B125" s="57" t="s">
        <v>17</v>
      </c>
      <c r="C125" s="57" t="s">
        <v>530</v>
      </c>
      <c r="D125" s="57" t="s">
        <v>531</v>
      </c>
      <c r="E125" s="57" t="s">
        <v>385</v>
      </c>
      <c r="F125" s="57" t="s">
        <v>532</v>
      </c>
      <c r="G125" s="57" t="s">
        <v>533</v>
      </c>
      <c r="H125" s="57" t="s">
        <v>41</v>
      </c>
      <c r="I125" s="58">
        <v>3</v>
      </c>
      <c r="J125" s="57" t="s">
        <v>78</v>
      </c>
      <c r="K125" s="59">
        <f>IF(COUNTIFS($C$2:C125,C125)=1,1,0)</f>
        <v>1</v>
      </c>
    </row>
    <row r="126" spans="1:11" s="60" customFormat="1" ht="15" customHeight="1" x14ac:dyDescent="0.25">
      <c r="A126" s="56">
        <v>46276</v>
      </c>
      <c r="B126" s="57" t="s">
        <v>15</v>
      </c>
      <c r="C126" s="57" t="s">
        <v>522</v>
      </c>
      <c r="D126" s="57" t="s">
        <v>523</v>
      </c>
      <c r="E126" s="57" t="s">
        <v>359</v>
      </c>
      <c r="F126" s="57" t="s">
        <v>524</v>
      </c>
      <c r="G126" s="57" t="s">
        <v>525</v>
      </c>
      <c r="H126" s="57" t="s">
        <v>40</v>
      </c>
      <c r="I126" s="58">
        <v>7</v>
      </c>
      <c r="J126" s="57" t="s">
        <v>534</v>
      </c>
      <c r="K126" s="59">
        <f>IF(COUNTIFS($C$2:C126,C126)=1,1,0)</f>
        <v>0</v>
      </c>
    </row>
    <row r="127" spans="1:11" s="35" customFormat="1" ht="15" customHeight="1" x14ac:dyDescent="0.25">
      <c r="A127" s="30">
        <v>46279</v>
      </c>
      <c r="B127" s="31" t="s">
        <v>16</v>
      </c>
      <c r="C127" s="31" t="s">
        <v>535</v>
      </c>
      <c r="D127" s="31" t="s">
        <v>536</v>
      </c>
      <c r="E127" s="31" t="s">
        <v>537</v>
      </c>
      <c r="F127" s="31" t="s">
        <v>538</v>
      </c>
      <c r="G127" s="31" t="s">
        <v>539</v>
      </c>
      <c r="H127" s="31" t="s">
        <v>41</v>
      </c>
      <c r="I127" s="32">
        <v>2</v>
      </c>
      <c r="J127" s="31" t="s">
        <v>540</v>
      </c>
      <c r="K127" s="34">
        <f>IF(COUNTIFS($C$2:C127,C127)=1,1,0)</f>
        <v>1</v>
      </c>
    </row>
    <row r="128" spans="1:11" s="35" customFormat="1" ht="15" customHeight="1" x14ac:dyDescent="0.25">
      <c r="A128" s="30">
        <v>46279</v>
      </c>
      <c r="B128" s="31" t="s">
        <v>16</v>
      </c>
      <c r="C128" s="31" t="s">
        <v>541</v>
      </c>
      <c r="D128" s="31" t="s">
        <v>542</v>
      </c>
      <c r="E128" s="31" t="s">
        <v>537</v>
      </c>
      <c r="F128" s="31" t="s">
        <v>543</v>
      </c>
      <c r="G128" s="31" t="s">
        <v>544</v>
      </c>
      <c r="H128" s="31" t="s">
        <v>41</v>
      </c>
      <c r="I128" s="32">
        <v>2</v>
      </c>
      <c r="J128" s="31" t="s">
        <v>297</v>
      </c>
      <c r="K128" s="34">
        <f>IF(COUNTIFS($C$2:C128,C128)=1,1,0)</f>
        <v>1</v>
      </c>
    </row>
    <row r="129" spans="1:11" s="35" customFormat="1" ht="15" customHeight="1" x14ac:dyDescent="0.25">
      <c r="A129" s="30">
        <v>46279</v>
      </c>
      <c r="B129" s="31" t="s">
        <v>15</v>
      </c>
      <c r="C129" s="31" t="s">
        <v>545</v>
      </c>
      <c r="D129" s="31" t="s">
        <v>546</v>
      </c>
      <c r="E129" s="31" t="s">
        <v>359</v>
      </c>
      <c r="F129" s="31" t="s">
        <v>547</v>
      </c>
      <c r="G129" s="31" t="s">
        <v>548</v>
      </c>
      <c r="H129" s="31" t="s">
        <v>41</v>
      </c>
      <c r="I129" s="32">
        <v>2</v>
      </c>
      <c r="J129" s="31" t="s">
        <v>353</v>
      </c>
      <c r="K129" s="34">
        <f>IF(COUNTIFS($C$2:C129,C129)=1,1,0)</f>
        <v>1</v>
      </c>
    </row>
    <row r="130" spans="1:11" s="35" customFormat="1" ht="15" customHeight="1" x14ac:dyDescent="0.25">
      <c r="A130" s="30">
        <v>46279</v>
      </c>
      <c r="B130" s="31" t="s">
        <v>16</v>
      </c>
      <c r="C130" s="31" t="s">
        <v>549</v>
      </c>
      <c r="D130" s="31" t="s">
        <v>550</v>
      </c>
      <c r="E130" s="31" t="s">
        <v>537</v>
      </c>
      <c r="F130" s="31" t="s">
        <v>543</v>
      </c>
      <c r="G130" s="31" t="s">
        <v>551</v>
      </c>
      <c r="H130" s="31" t="s">
        <v>43</v>
      </c>
      <c r="I130" s="32">
        <v>2</v>
      </c>
      <c r="J130" s="31" t="s">
        <v>146</v>
      </c>
      <c r="K130" s="34">
        <f>IF(COUNTIFS($C$2:C130,C130)=1,1,0)</f>
        <v>1</v>
      </c>
    </row>
    <row r="131" spans="1:11" s="35" customFormat="1" ht="15" customHeight="1" x14ac:dyDescent="0.25">
      <c r="A131" s="30">
        <v>46279</v>
      </c>
      <c r="B131" s="31" t="s">
        <v>15</v>
      </c>
      <c r="C131" s="31" t="s">
        <v>552</v>
      </c>
      <c r="D131" s="31" t="s">
        <v>553</v>
      </c>
      <c r="E131" s="31" t="s">
        <v>359</v>
      </c>
      <c r="F131" s="31" t="s">
        <v>547</v>
      </c>
      <c r="G131" s="31" t="s">
        <v>554</v>
      </c>
      <c r="H131" s="31" t="s">
        <v>43</v>
      </c>
      <c r="I131" s="32">
        <v>1</v>
      </c>
      <c r="J131" s="31" t="s">
        <v>302</v>
      </c>
      <c r="K131" s="34">
        <f>IF(COUNTIFS($C$2:C131,C131)=1,1,0)</f>
        <v>1</v>
      </c>
    </row>
    <row r="132" spans="1:11" s="35" customFormat="1" ht="15" customHeight="1" x14ac:dyDescent="0.25">
      <c r="A132" s="30">
        <v>46280</v>
      </c>
      <c r="B132" s="31" t="s">
        <v>15</v>
      </c>
      <c r="C132" s="31" t="s">
        <v>555</v>
      </c>
      <c r="D132" s="31" t="s">
        <v>556</v>
      </c>
      <c r="E132" s="31" t="s">
        <v>359</v>
      </c>
      <c r="F132" s="31" t="s">
        <v>557</v>
      </c>
      <c r="G132" s="31" t="s">
        <v>558</v>
      </c>
      <c r="H132" s="31" t="s">
        <v>43</v>
      </c>
      <c r="I132" s="32">
        <v>7</v>
      </c>
      <c r="J132" s="31" t="s">
        <v>534</v>
      </c>
      <c r="K132" s="34">
        <f>IF(COUNTIFS($C$2:C132,C132)=1,1,0)</f>
        <v>1</v>
      </c>
    </row>
    <row r="133" spans="1:11" s="35" customFormat="1" ht="15" customHeight="1" x14ac:dyDescent="0.25">
      <c r="A133" s="30">
        <v>46280</v>
      </c>
      <c r="B133" s="31" t="s">
        <v>15</v>
      </c>
      <c r="C133" s="31" t="s">
        <v>559</v>
      </c>
      <c r="D133" s="31" t="s">
        <v>560</v>
      </c>
      <c r="E133" s="31" t="s">
        <v>359</v>
      </c>
      <c r="F133" s="31" t="s">
        <v>561</v>
      </c>
      <c r="G133" s="31" t="s">
        <v>562</v>
      </c>
      <c r="H133" s="31" t="s">
        <v>41</v>
      </c>
      <c r="I133" s="32">
        <v>5</v>
      </c>
      <c r="J133" s="31" t="s">
        <v>563</v>
      </c>
      <c r="K133" s="34">
        <f>IF(COUNTIFS($C$2:C133,C133)=1,1,0)</f>
        <v>1</v>
      </c>
    </row>
    <row r="134" spans="1:11" s="35" customFormat="1" ht="15" customHeight="1" x14ac:dyDescent="0.25">
      <c r="A134" s="30">
        <v>46280</v>
      </c>
      <c r="B134" s="31" t="s">
        <v>16</v>
      </c>
      <c r="C134" s="31" t="s">
        <v>564</v>
      </c>
      <c r="D134" s="31" t="s">
        <v>565</v>
      </c>
      <c r="E134" s="31" t="s">
        <v>537</v>
      </c>
      <c r="F134" s="31" t="s">
        <v>566</v>
      </c>
      <c r="G134" s="31" t="s">
        <v>567</v>
      </c>
      <c r="H134" s="31" t="s">
        <v>41</v>
      </c>
      <c r="I134" s="32">
        <v>4</v>
      </c>
      <c r="J134" s="31" t="s">
        <v>568</v>
      </c>
      <c r="K134" s="34">
        <f>IF(COUNTIFS($C$2:C134,C134)=1,1,0)</f>
        <v>1</v>
      </c>
    </row>
    <row r="135" spans="1:11" s="35" customFormat="1" ht="15" customHeight="1" x14ac:dyDescent="0.25">
      <c r="A135" s="30">
        <v>46280</v>
      </c>
      <c r="B135" s="31" t="s">
        <v>16</v>
      </c>
      <c r="C135" s="31" t="s">
        <v>569</v>
      </c>
      <c r="D135" s="31" t="s">
        <v>570</v>
      </c>
      <c r="E135" s="31" t="s">
        <v>537</v>
      </c>
      <c r="F135" s="31" t="s">
        <v>571</v>
      </c>
      <c r="G135" s="31" t="s">
        <v>572</v>
      </c>
      <c r="H135" s="31" t="s">
        <v>41</v>
      </c>
      <c r="I135" s="32">
        <v>1</v>
      </c>
      <c r="J135" s="31" t="s">
        <v>223</v>
      </c>
      <c r="K135" s="34">
        <f>IF(COUNTIFS($C$2:C135,C135)=1,1,0)</f>
        <v>1</v>
      </c>
    </row>
    <row r="136" spans="1:11" s="35" customFormat="1" ht="15" customHeight="1" x14ac:dyDescent="0.25">
      <c r="A136" s="30">
        <v>46280</v>
      </c>
      <c r="B136" s="31" t="s">
        <v>16</v>
      </c>
      <c r="C136" s="31" t="s">
        <v>573</v>
      </c>
      <c r="D136" s="31" t="s">
        <v>574</v>
      </c>
      <c r="E136" s="31" t="s">
        <v>537</v>
      </c>
      <c r="F136" s="31" t="s">
        <v>566</v>
      </c>
      <c r="G136" s="31" t="s">
        <v>575</v>
      </c>
      <c r="H136" s="31" t="s">
        <v>43</v>
      </c>
      <c r="I136" s="32">
        <v>1</v>
      </c>
      <c r="J136" s="31" t="s">
        <v>302</v>
      </c>
      <c r="K136" s="34">
        <f>IF(COUNTIFS($C$2:C136,C136)=1,1,0)</f>
        <v>1</v>
      </c>
    </row>
    <row r="137" spans="1:11" s="35" customFormat="1" ht="15" customHeight="1" x14ac:dyDescent="0.25">
      <c r="A137" s="30">
        <v>46280</v>
      </c>
      <c r="B137" s="31" t="s">
        <v>16</v>
      </c>
      <c r="C137" s="31" t="s">
        <v>576</v>
      </c>
      <c r="D137" s="31" t="s">
        <v>577</v>
      </c>
      <c r="E137" s="31" t="s">
        <v>537</v>
      </c>
      <c r="F137" s="31" t="s">
        <v>578</v>
      </c>
      <c r="G137" s="31" t="s">
        <v>579</v>
      </c>
      <c r="H137" s="31" t="s">
        <v>43</v>
      </c>
      <c r="I137" s="32">
        <v>1</v>
      </c>
      <c r="J137" s="31" t="s">
        <v>310</v>
      </c>
      <c r="K137" s="34">
        <f>IF(COUNTIFS($C$2:C137,C137)=1,1,0)</f>
        <v>1</v>
      </c>
    </row>
    <row r="138" spans="1:11" s="35" customFormat="1" ht="15" customHeight="1" x14ac:dyDescent="0.25">
      <c r="A138" s="30">
        <v>46281</v>
      </c>
      <c r="B138" s="31" t="s">
        <v>16</v>
      </c>
      <c r="C138" s="31" t="s">
        <v>580</v>
      </c>
      <c r="D138" s="31" t="s">
        <v>581</v>
      </c>
      <c r="E138" s="31" t="s">
        <v>537</v>
      </c>
      <c r="F138" s="31" t="s">
        <v>582</v>
      </c>
      <c r="G138" s="31" t="s">
        <v>583</v>
      </c>
      <c r="H138" s="31" t="s">
        <v>43</v>
      </c>
      <c r="I138" s="32">
        <v>6</v>
      </c>
      <c r="J138" s="31" t="s">
        <v>584</v>
      </c>
      <c r="K138" s="34">
        <f>IF(COUNTIFS($C$2:C138,C138)=1,1,0)</f>
        <v>1</v>
      </c>
    </row>
    <row r="139" spans="1:11" s="35" customFormat="1" ht="15" customHeight="1" x14ac:dyDescent="0.25">
      <c r="A139" s="30">
        <v>46281</v>
      </c>
      <c r="B139" s="31" t="s">
        <v>15</v>
      </c>
      <c r="C139" s="31" t="s">
        <v>585</v>
      </c>
      <c r="D139" s="31" t="s">
        <v>586</v>
      </c>
      <c r="E139" s="31" t="s">
        <v>359</v>
      </c>
      <c r="F139" s="31" t="s">
        <v>587</v>
      </c>
      <c r="G139" s="31" t="s">
        <v>588</v>
      </c>
      <c r="H139" s="31" t="s">
        <v>41</v>
      </c>
      <c r="I139" s="32">
        <v>4</v>
      </c>
      <c r="J139" s="31" t="s">
        <v>391</v>
      </c>
      <c r="K139" s="34">
        <f>IF(COUNTIFS($C$2:C139,C139)=1,1,0)</f>
        <v>1</v>
      </c>
    </row>
    <row r="140" spans="1:11" s="35" customFormat="1" ht="15" customHeight="1" x14ac:dyDescent="0.25">
      <c r="A140" s="30">
        <v>46281</v>
      </c>
      <c r="B140" s="31" t="s">
        <v>15</v>
      </c>
      <c r="C140" s="31" t="s">
        <v>589</v>
      </c>
      <c r="D140" s="31" t="s">
        <v>590</v>
      </c>
      <c r="E140" s="31" t="s">
        <v>359</v>
      </c>
      <c r="F140" s="31" t="s">
        <v>590</v>
      </c>
      <c r="G140" s="31" t="s">
        <v>591</v>
      </c>
      <c r="H140" s="31" t="s">
        <v>40</v>
      </c>
      <c r="I140" s="32">
        <v>3</v>
      </c>
      <c r="J140" s="31" t="s">
        <v>420</v>
      </c>
      <c r="K140" s="34">
        <f>IF(COUNTIFS($C$2:C140,C140)=1,1,0)</f>
        <v>1</v>
      </c>
    </row>
    <row r="141" spans="1:11" s="35" customFormat="1" ht="15" customHeight="1" x14ac:dyDescent="0.25">
      <c r="A141" s="30">
        <v>46281</v>
      </c>
      <c r="B141" s="31" t="s">
        <v>16</v>
      </c>
      <c r="C141" s="31" t="s">
        <v>592</v>
      </c>
      <c r="D141" s="31" t="s">
        <v>593</v>
      </c>
      <c r="E141" s="31" t="s">
        <v>537</v>
      </c>
      <c r="F141" s="31" t="s">
        <v>594</v>
      </c>
      <c r="G141" s="31" t="s">
        <v>595</v>
      </c>
      <c r="H141" s="31" t="s">
        <v>41</v>
      </c>
      <c r="I141" s="32">
        <v>2</v>
      </c>
      <c r="J141" s="31" t="s">
        <v>146</v>
      </c>
      <c r="K141" s="34">
        <f>IF(COUNTIFS($C$2:C141,C141)=1,1,0)</f>
        <v>1</v>
      </c>
    </row>
    <row r="142" spans="1:11" s="35" customFormat="1" ht="15" customHeight="1" x14ac:dyDescent="0.25">
      <c r="A142" s="30">
        <v>46281</v>
      </c>
      <c r="B142" s="31" t="s">
        <v>15</v>
      </c>
      <c r="C142" s="31" t="s">
        <v>596</v>
      </c>
      <c r="D142" s="31" t="s">
        <v>597</v>
      </c>
      <c r="E142" s="31" t="s">
        <v>359</v>
      </c>
      <c r="F142" s="31" t="s">
        <v>597</v>
      </c>
      <c r="G142" s="31" t="s">
        <v>598</v>
      </c>
      <c r="H142" s="31" t="s">
        <v>42</v>
      </c>
      <c r="I142" s="32">
        <v>2</v>
      </c>
      <c r="J142" s="31" t="s">
        <v>465</v>
      </c>
      <c r="K142" s="34">
        <f>IF(COUNTIFS($C$2:C142,C142)=1,1,0)</f>
        <v>1</v>
      </c>
    </row>
    <row r="143" spans="1:11" s="35" customFormat="1" ht="15" customHeight="1" x14ac:dyDescent="0.25">
      <c r="A143" s="30">
        <v>46282</v>
      </c>
      <c r="B143" s="31" t="s">
        <v>16</v>
      </c>
      <c r="C143" s="31" t="s">
        <v>599</v>
      </c>
      <c r="D143" s="31" t="s">
        <v>600</v>
      </c>
      <c r="E143" s="31" t="s">
        <v>537</v>
      </c>
      <c r="F143" s="31" t="s">
        <v>601</v>
      </c>
      <c r="G143" s="31" t="s">
        <v>602</v>
      </c>
      <c r="H143" s="31" t="s">
        <v>40</v>
      </c>
      <c r="I143" s="32">
        <v>7</v>
      </c>
      <c r="J143" s="31" t="s">
        <v>603</v>
      </c>
      <c r="K143" s="34">
        <f>IF(COUNTIFS($C$2:C143,C143)=1,1,0)</f>
        <v>1</v>
      </c>
    </row>
    <row r="144" spans="1:11" s="35" customFormat="1" ht="15" customHeight="1" x14ac:dyDescent="0.25">
      <c r="A144" s="30">
        <v>46282</v>
      </c>
      <c r="B144" s="31" t="s">
        <v>16</v>
      </c>
      <c r="C144" s="31" t="s">
        <v>604</v>
      </c>
      <c r="D144" s="31" t="s">
        <v>605</v>
      </c>
      <c r="E144" s="31" t="s">
        <v>537</v>
      </c>
      <c r="F144" s="31" t="s">
        <v>606</v>
      </c>
      <c r="G144" s="31" t="s">
        <v>607</v>
      </c>
      <c r="H144" s="31" t="s">
        <v>40</v>
      </c>
      <c r="I144" s="32">
        <v>3</v>
      </c>
      <c r="J144" s="31" t="s">
        <v>262</v>
      </c>
      <c r="K144" s="34">
        <f>IF(COUNTIFS($C$2:C144,C144)=1,1,0)</f>
        <v>1</v>
      </c>
    </row>
    <row r="145" spans="1:11" s="35" customFormat="1" ht="15" customHeight="1" x14ac:dyDescent="0.25">
      <c r="A145" s="30">
        <v>46282</v>
      </c>
      <c r="B145" s="31" t="s">
        <v>15</v>
      </c>
      <c r="C145" s="31" t="s">
        <v>608</v>
      </c>
      <c r="D145" s="31" t="s">
        <v>609</v>
      </c>
      <c r="E145" s="31" t="s">
        <v>359</v>
      </c>
      <c r="F145" s="31" t="s">
        <v>610</v>
      </c>
      <c r="G145" s="31" t="s">
        <v>611</v>
      </c>
      <c r="H145" s="31" t="s">
        <v>43</v>
      </c>
      <c r="I145" s="32">
        <v>2</v>
      </c>
      <c r="J145" s="31" t="s">
        <v>267</v>
      </c>
      <c r="K145" s="34">
        <f>IF(COUNTIFS($C$2:C145,C145)=1,1,0)</f>
        <v>1</v>
      </c>
    </row>
    <row r="146" spans="1:11" s="35" customFormat="1" ht="15" customHeight="1" x14ac:dyDescent="0.25">
      <c r="A146" s="30">
        <v>46282</v>
      </c>
      <c r="B146" s="31" t="s">
        <v>15</v>
      </c>
      <c r="C146" s="31" t="s">
        <v>612</v>
      </c>
      <c r="D146" s="31" t="s">
        <v>613</v>
      </c>
      <c r="E146" s="31" t="s">
        <v>359</v>
      </c>
      <c r="F146" s="31" t="s">
        <v>614</v>
      </c>
      <c r="G146" s="31" t="s">
        <v>615</v>
      </c>
      <c r="H146" s="31" t="s">
        <v>41</v>
      </c>
      <c r="I146" s="32">
        <v>1</v>
      </c>
      <c r="J146" s="31" t="s">
        <v>429</v>
      </c>
      <c r="K146" s="34">
        <f>IF(COUNTIFS($C$2:C146,C146)=1,1,0)</f>
        <v>1</v>
      </c>
    </row>
    <row r="147" spans="1:11" s="35" customFormat="1" ht="15" customHeight="1" x14ac:dyDescent="0.25">
      <c r="A147" s="30">
        <v>46282</v>
      </c>
      <c r="B147" s="31" t="s">
        <v>16</v>
      </c>
      <c r="C147" s="31" t="s">
        <v>616</v>
      </c>
      <c r="D147" s="31" t="s">
        <v>617</v>
      </c>
      <c r="E147" s="31" t="s">
        <v>537</v>
      </c>
      <c r="F147" s="31" t="s">
        <v>594</v>
      </c>
      <c r="G147" s="31" t="s">
        <v>618</v>
      </c>
      <c r="H147" s="31" t="s">
        <v>43</v>
      </c>
      <c r="I147" s="32">
        <v>1</v>
      </c>
      <c r="J147" s="31" t="s">
        <v>310</v>
      </c>
      <c r="K147" s="34">
        <f>IF(COUNTIFS($C$2:C147,C147)=1,1,0)</f>
        <v>1</v>
      </c>
    </row>
    <row r="148" spans="1:11" s="35" customFormat="1" ht="15" customHeight="1" x14ac:dyDescent="0.25">
      <c r="A148" s="30">
        <v>46283</v>
      </c>
      <c r="B148" s="31" t="s">
        <v>16</v>
      </c>
      <c r="C148" s="31" t="s">
        <v>619</v>
      </c>
      <c r="D148" s="31" t="s">
        <v>620</v>
      </c>
      <c r="E148" s="31" t="s">
        <v>537</v>
      </c>
      <c r="F148" s="31" t="s">
        <v>621</v>
      </c>
      <c r="G148" s="31" t="s">
        <v>622</v>
      </c>
      <c r="H148" s="31" t="s">
        <v>41</v>
      </c>
      <c r="I148" s="32">
        <v>2</v>
      </c>
      <c r="J148" s="31" t="s">
        <v>267</v>
      </c>
      <c r="K148" s="34">
        <f>IF(COUNTIFS($C$2:C148,C148)=1,1,0)</f>
        <v>1</v>
      </c>
    </row>
    <row r="149" spans="1:11" s="35" customFormat="1" ht="15" customHeight="1" x14ac:dyDescent="0.25">
      <c r="A149" s="30">
        <v>46283</v>
      </c>
      <c r="B149" s="31" t="s">
        <v>16</v>
      </c>
      <c r="C149" s="31" t="s">
        <v>623</v>
      </c>
      <c r="D149" s="31" t="s">
        <v>624</v>
      </c>
      <c r="E149" s="31" t="s">
        <v>537</v>
      </c>
      <c r="F149" s="31" t="s">
        <v>621</v>
      </c>
      <c r="G149" s="31" t="s">
        <v>625</v>
      </c>
      <c r="H149" s="31" t="s">
        <v>41</v>
      </c>
      <c r="I149" s="32">
        <v>2</v>
      </c>
      <c r="J149" s="31" t="s">
        <v>540</v>
      </c>
      <c r="K149" s="34">
        <f>IF(COUNTIFS($C$2:C149,C149)=1,1,0)</f>
        <v>1</v>
      </c>
    </row>
    <row r="150" spans="1:11" s="35" customFormat="1" ht="15" customHeight="1" x14ac:dyDescent="0.25">
      <c r="A150" s="30">
        <v>46283</v>
      </c>
      <c r="B150" s="31" t="s">
        <v>16</v>
      </c>
      <c r="C150" s="31" t="s">
        <v>626</v>
      </c>
      <c r="D150" s="31" t="s">
        <v>627</v>
      </c>
      <c r="E150" s="31" t="s">
        <v>537</v>
      </c>
      <c r="F150" s="31" t="s">
        <v>621</v>
      </c>
      <c r="G150" s="31" t="s">
        <v>628</v>
      </c>
      <c r="H150" s="31" t="s">
        <v>41</v>
      </c>
      <c r="I150" s="32">
        <v>2</v>
      </c>
      <c r="J150" s="31" t="s">
        <v>297</v>
      </c>
      <c r="K150" s="34">
        <f>IF(COUNTIFS($C$2:C150,C150)=1,1,0)</f>
        <v>1</v>
      </c>
    </row>
    <row r="151" spans="1:11" s="23" customFormat="1" ht="15" customHeight="1" x14ac:dyDescent="0.25">
      <c r="A151" s="20">
        <v>46286</v>
      </c>
      <c r="B151" s="21" t="s">
        <v>15</v>
      </c>
      <c r="C151" s="21" t="s">
        <v>629</v>
      </c>
      <c r="D151" s="21" t="s">
        <v>630</v>
      </c>
      <c r="E151" s="21" t="s">
        <v>359</v>
      </c>
      <c r="F151" s="21" t="s">
        <v>494</v>
      </c>
      <c r="G151" s="21" t="s">
        <v>631</v>
      </c>
      <c r="H151" s="21" t="s">
        <v>41</v>
      </c>
      <c r="I151" s="22">
        <v>12</v>
      </c>
      <c r="J151" s="21" t="s">
        <v>632</v>
      </c>
      <c r="K151" s="24">
        <f>IF(COUNTIFS($C$2:C151,C151)=1,1,0)</f>
        <v>1</v>
      </c>
    </row>
    <row r="152" spans="1:11" s="23" customFormat="1" ht="15" customHeight="1" x14ac:dyDescent="0.25">
      <c r="A152" s="20">
        <v>46286</v>
      </c>
      <c r="B152" s="21" t="s">
        <v>17</v>
      </c>
      <c r="C152" s="21" t="s">
        <v>633</v>
      </c>
      <c r="D152" s="21" t="s">
        <v>634</v>
      </c>
      <c r="E152" s="21" t="s">
        <v>635</v>
      </c>
      <c r="F152" s="21" t="s">
        <v>636</v>
      </c>
      <c r="G152" s="21" t="s">
        <v>637</v>
      </c>
      <c r="H152" s="21" t="s">
        <v>41</v>
      </c>
      <c r="I152" s="22">
        <v>2</v>
      </c>
      <c r="J152" s="21" t="s">
        <v>638</v>
      </c>
      <c r="K152" s="24">
        <f>IF(COUNTIFS($C$2:C152,C152)=1,1,0)</f>
        <v>1</v>
      </c>
    </row>
    <row r="153" spans="1:11" s="23" customFormat="1" ht="15" customHeight="1" x14ac:dyDescent="0.25">
      <c r="A153" s="20">
        <v>46287</v>
      </c>
      <c r="B153" s="21" t="s">
        <v>15</v>
      </c>
      <c r="C153" s="21" t="s">
        <v>639</v>
      </c>
      <c r="D153" s="21" t="s">
        <v>640</v>
      </c>
      <c r="E153" s="21" t="s">
        <v>359</v>
      </c>
      <c r="F153" s="21" t="s">
        <v>494</v>
      </c>
      <c r="G153" s="21" t="s">
        <v>641</v>
      </c>
      <c r="H153" s="21" t="s">
        <v>41</v>
      </c>
      <c r="I153" s="22">
        <v>6</v>
      </c>
      <c r="J153" s="21" t="s">
        <v>642</v>
      </c>
      <c r="K153" s="24">
        <f>IF(COUNTIFS($C$2:C153,C153)=1,1,0)</f>
        <v>1</v>
      </c>
    </row>
    <row r="154" spans="1:11" s="23" customFormat="1" ht="15" customHeight="1" x14ac:dyDescent="0.25">
      <c r="A154" s="20">
        <v>46287</v>
      </c>
      <c r="B154" s="21" t="s">
        <v>16</v>
      </c>
      <c r="C154" s="21" t="s">
        <v>643</v>
      </c>
      <c r="D154" s="21" t="s">
        <v>644</v>
      </c>
      <c r="E154" s="21" t="s">
        <v>645</v>
      </c>
      <c r="F154" s="21" t="s">
        <v>646</v>
      </c>
      <c r="G154" s="21" t="s">
        <v>647</v>
      </c>
      <c r="H154" s="21" t="s">
        <v>41</v>
      </c>
      <c r="I154" s="22">
        <v>6</v>
      </c>
      <c r="J154" s="21" t="s">
        <v>135</v>
      </c>
      <c r="K154" s="24">
        <f>IF(COUNTIFS($C$2:C154,C154)=1,1,0)</f>
        <v>1</v>
      </c>
    </row>
    <row r="155" spans="1:11" s="23" customFormat="1" ht="15" customHeight="1" x14ac:dyDescent="0.25">
      <c r="A155" s="20">
        <v>46287</v>
      </c>
      <c r="B155" s="21" t="s">
        <v>15</v>
      </c>
      <c r="C155" s="21" t="s">
        <v>648</v>
      </c>
      <c r="D155" s="21" t="s">
        <v>649</v>
      </c>
      <c r="E155" s="21" t="s">
        <v>359</v>
      </c>
      <c r="F155" s="21" t="s">
        <v>494</v>
      </c>
      <c r="G155" s="21" t="s">
        <v>650</v>
      </c>
      <c r="H155" s="21" t="s">
        <v>41</v>
      </c>
      <c r="I155" s="22">
        <v>3</v>
      </c>
      <c r="J155" s="21" t="s">
        <v>240</v>
      </c>
      <c r="K155" s="24">
        <f>IF(COUNTIFS($C$2:C155,C155)=1,1,0)</f>
        <v>1</v>
      </c>
    </row>
    <row r="156" spans="1:11" s="23" customFormat="1" ht="15" customHeight="1" x14ac:dyDescent="0.25">
      <c r="A156" s="20">
        <v>46287</v>
      </c>
      <c r="B156" s="21" t="s">
        <v>15</v>
      </c>
      <c r="C156" s="21" t="s">
        <v>651</v>
      </c>
      <c r="D156" s="21" t="s">
        <v>652</v>
      </c>
      <c r="E156" s="21" t="s">
        <v>359</v>
      </c>
      <c r="F156" s="21" t="s">
        <v>494</v>
      </c>
      <c r="G156" s="21" t="s">
        <v>653</v>
      </c>
      <c r="H156" s="21" t="s">
        <v>41</v>
      </c>
      <c r="I156" s="22">
        <v>3</v>
      </c>
      <c r="J156" s="21" t="s">
        <v>87</v>
      </c>
      <c r="K156" s="24">
        <f>IF(COUNTIFS($C$2:C156,C156)=1,1,0)</f>
        <v>1</v>
      </c>
    </row>
    <row r="157" spans="1:11" s="23" customFormat="1" ht="15" customHeight="1" x14ac:dyDescent="0.25">
      <c r="A157" s="20">
        <v>46287</v>
      </c>
      <c r="B157" s="21" t="s">
        <v>16</v>
      </c>
      <c r="C157" s="21" t="s">
        <v>654</v>
      </c>
      <c r="D157" s="21" t="s">
        <v>655</v>
      </c>
      <c r="E157" s="21" t="s">
        <v>645</v>
      </c>
      <c r="F157" s="21" t="s">
        <v>656</v>
      </c>
      <c r="G157" s="21" t="s">
        <v>657</v>
      </c>
      <c r="H157" s="21" t="s">
        <v>41</v>
      </c>
      <c r="I157" s="22">
        <v>2</v>
      </c>
      <c r="J157" s="21" t="s">
        <v>658</v>
      </c>
      <c r="K157" s="24">
        <f>IF(COUNTIFS($C$2:C157,C157)=1,1,0)</f>
        <v>1</v>
      </c>
    </row>
    <row r="158" spans="1:11" s="23" customFormat="1" ht="15" customHeight="1" x14ac:dyDescent="0.25">
      <c r="A158" s="20">
        <v>46288</v>
      </c>
      <c r="B158" s="21" t="s">
        <v>15</v>
      </c>
      <c r="C158" s="21" t="s">
        <v>659</v>
      </c>
      <c r="D158" s="21" t="s">
        <v>660</v>
      </c>
      <c r="E158" s="21" t="s">
        <v>359</v>
      </c>
      <c r="F158" s="21" t="s">
        <v>494</v>
      </c>
      <c r="G158" s="21" t="s">
        <v>661</v>
      </c>
      <c r="H158" s="21" t="s">
        <v>41</v>
      </c>
      <c r="I158" s="22">
        <v>6</v>
      </c>
      <c r="J158" s="21" t="s">
        <v>662</v>
      </c>
      <c r="K158" s="24">
        <f>IF(COUNTIFS($C$2:C158,C158)=1,1,0)</f>
        <v>1</v>
      </c>
    </row>
    <row r="159" spans="1:11" s="23" customFormat="1" ht="15" customHeight="1" x14ac:dyDescent="0.25">
      <c r="A159" s="20">
        <v>46288</v>
      </c>
      <c r="B159" s="21" t="s">
        <v>17</v>
      </c>
      <c r="C159" s="21" t="s">
        <v>663</v>
      </c>
      <c r="D159" s="21" t="s">
        <v>664</v>
      </c>
      <c r="E159" s="21" t="s">
        <v>665</v>
      </c>
      <c r="F159" s="21" t="s">
        <v>666</v>
      </c>
      <c r="G159" s="21" t="s">
        <v>667</v>
      </c>
      <c r="H159" s="21" t="s">
        <v>41</v>
      </c>
      <c r="I159" s="22">
        <v>4</v>
      </c>
      <c r="J159" s="21" t="s">
        <v>209</v>
      </c>
      <c r="K159" s="24">
        <f>IF(COUNTIFS($C$2:C159,C159)=1,1,0)</f>
        <v>1</v>
      </c>
    </row>
    <row r="160" spans="1:11" s="23" customFormat="1" ht="15" customHeight="1" x14ac:dyDescent="0.25">
      <c r="A160" s="20">
        <v>46288</v>
      </c>
      <c r="B160" s="21" t="s">
        <v>17</v>
      </c>
      <c r="C160" s="21" t="s">
        <v>668</v>
      </c>
      <c r="D160" s="21" t="s">
        <v>669</v>
      </c>
      <c r="E160" s="21" t="s">
        <v>665</v>
      </c>
      <c r="F160" s="21" t="s">
        <v>670</v>
      </c>
      <c r="G160" s="21" t="s">
        <v>671</v>
      </c>
      <c r="H160" s="21" t="s">
        <v>41</v>
      </c>
      <c r="I160" s="22">
        <v>4</v>
      </c>
      <c r="J160" s="21" t="s">
        <v>59</v>
      </c>
      <c r="K160" s="24">
        <f>IF(COUNTIFS($C$2:C160,C160)=1,1,0)</f>
        <v>1</v>
      </c>
    </row>
    <row r="161" spans="1:11" s="23" customFormat="1" ht="15" customHeight="1" x14ac:dyDescent="0.25">
      <c r="A161" s="20">
        <v>46288</v>
      </c>
      <c r="B161" s="21" t="s">
        <v>16</v>
      </c>
      <c r="C161" s="21" t="s">
        <v>672</v>
      </c>
      <c r="D161" s="21" t="s">
        <v>673</v>
      </c>
      <c r="E161" s="21" t="s">
        <v>645</v>
      </c>
      <c r="F161" s="21" t="s">
        <v>674</v>
      </c>
      <c r="G161" s="21" t="s">
        <v>675</v>
      </c>
      <c r="H161" s="21" t="s">
        <v>41</v>
      </c>
      <c r="I161" s="22">
        <v>4</v>
      </c>
      <c r="J161" s="21" t="s">
        <v>676</v>
      </c>
      <c r="K161" s="24">
        <f>IF(COUNTIFS($C$2:C161,C161)=1,1,0)</f>
        <v>1</v>
      </c>
    </row>
    <row r="162" spans="1:11" s="23" customFormat="1" ht="15" customHeight="1" x14ac:dyDescent="0.25">
      <c r="A162" s="20">
        <v>46288</v>
      </c>
      <c r="B162" s="21" t="s">
        <v>15</v>
      </c>
      <c r="C162" s="21" t="s">
        <v>677</v>
      </c>
      <c r="D162" s="21" t="s">
        <v>678</v>
      </c>
      <c r="E162" s="21" t="s">
        <v>359</v>
      </c>
      <c r="F162" s="21" t="s">
        <v>494</v>
      </c>
      <c r="G162" s="21" t="s">
        <v>679</v>
      </c>
      <c r="H162" s="21" t="s">
        <v>41</v>
      </c>
      <c r="I162" s="22">
        <v>2</v>
      </c>
      <c r="J162" s="21" t="s">
        <v>465</v>
      </c>
      <c r="K162" s="24">
        <f>IF(COUNTIFS($C$2:C162,C162)=1,1,0)</f>
        <v>1</v>
      </c>
    </row>
    <row r="163" spans="1:11" s="23" customFormat="1" ht="15" customHeight="1" x14ac:dyDescent="0.25">
      <c r="A163" s="20">
        <v>46288</v>
      </c>
      <c r="B163" s="21" t="s">
        <v>15</v>
      </c>
      <c r="C163" s="21" t="s">
        <v>680</v>
      </c>
      <c r="D163" s="21" t="s">
        <v>681</v>
      </c>
      <c r="E163" s="21" t="s">
        <v>359</v>
      </c>
      <c r="F163" s="21" t="s">
        <v>494</v>
      </c>
      <c r="G163" s="21" t="s">
        <v>682</v>
      </c>
      <c r="H163" s="21" t="s">
        <v>41</v>
      </c>
      <c r="I163" s="22">
        <v>1</v>
      </c>
      <c r="J163" s="21" t="s">
        <v>683</v>
      </c>
      <c r="K163" s="24">
        <f>IF(COUNTIFS($C$2:C163,C163)=1,1,0)</f>
        <v>1</v>
      </c>
    </row>
    <row r="164" spans="1:11" s="23" customFormat="1" ht="15" customHeight="1" x14ac:dyDescent="0.25">
      <c r="A164" s="20">
        <v>46288</v>
      </c>
      <c r="B164" s="21" t="s">
        <v>16</v>
      </c>
      <c r="C164" s="21" t="s">
        <v>684</v>
      </c>
      <c r="D164" s="21" t="s">
        <v>685</v>
      </c>
      <c r="E164" s="21" t="s">
        <v>645</v>
      </c>
      <c r="F164" s="21" t="s">
        <v>674</v>
      </c>
      <c r="G164" s="21" t="s">
        <v>686</v>
      </c>
      <c r="H164" s="21" t="s">
        <v>43</v>
      </c>
      <c r="I164" s="22">
        <v>1</v>
      </c>
      <c r="J164" s="21" t="s">
        <v>306</v>
      </c>
      <c r="K164" s="24">
        <f>IF(COUNTIFS($C$2:C164,C164)=1,1,0)</f>
        <v>1</v>
      </c>
    </row>
    <row r="165" spans="1:11" s="23" customFormat="1" ht="15" customHeight="1" x14ac:dyDescent="0.25">
      <c r="A165" s="20">
        <v>46289</v>
      </c>
      <c r="B165" s="21" t="s">
        <v>15</v>
      </c>
      <c r="C165" s="21" t="s">
        <v>687</v>
      </c>
      <c r="D165" s="21" t="s">
        <v>688</v>
      </c>
      <c r="E165" s="21" t="s">
        <v>359</v>
      </c>
      <c r="F165" s="21" t="s">
        <v>689</v>
      </c>
      <c r="G165" s="21" t="s">
        <v>690</v>
      </c>
      <c r="H165" s="21" t="s">
        <v>41</v>
      </c>
      <c r="I165" s="22">
        <v>5</v>
      </c>
      <c r="J165" s="21" t="s">
        <v>288</v>
      </c>
      <c r="K165" s="24">
        <f>IF(COUNTIFS($C$2:C165,C165)=1,1,0)</f>
        <v>1</v>
      </c>
    </row>
    <row r="166" spans="1:11" s="23" customFormat="1" ht="15" customHeight="1" x14ac:dyDescent="0.25">
      <c r="A166" s="20">
        <v>46289</v>
      </c>
      <c r="B166" s="21" t="s">
        <v>17</v>
      </c>
      <c r="C166" s="21" t="s">
        <v>691</v>
      </c>
      <c r="D166" s="21" t="s">
        <v>692</v>
      </c>
      <c r="E166" s="21" t="s">
        <v>693</v>
      </c>
      <c r="F166" s="21" t="s">
        <v>694</v>
      </c>
      <c r="G166" s="21" t="s">
        <v>695</v>
      </c>
      <c r="H166" s="21" t="s">
        <v>41</v>
      </c>
      <c r="I166" s="22">
        <v>2</v>
      </c>
      <c r="J166" s="21" t="s">
        <v>78</v>
      </c>
      <c r="K166" s="24">
        <f>IF(COUNTIFS($C$2:C166,C166)=1,1,0)</f>
        <v>1</v>
      </c>
    </row>
    <row r="167" spans="1:11" s="23" customFormat="1" ht="15" customHeight="1" x14ac:dyDescent="0.25">
      <c r="A167" s="20">
        <v>46289</v>
      </c>
      <c r="B167" s="21" t="s">
        <v>17</v>
      </c>
      <c r="C167" s="21" t="s">
        <v>696</v>
      </c>
      <c r="D167" s="21" t="s">
        <v>697</v>
      </c>
      <c r="E167" s="21" t="s">
        <v>693</v>
      </c>
      <c r="F167" s="21" t="s">
        <v>698</v>
      </c>
      <c r="G167" s="21" t="s">
        <v>699</v>
      </c>
      <c r="H167" s="21" t="s">
        <v>41</v>
      </c>
      <c r="I167" s="22">
        <v>2</v>
      </c>
      <c r="J167" s="21" t="s">
        <v>367</v>
      </c>
      <c r="K167" s="24">
        <f>IF(COUNTIFS($C$2:C167,C167)=1,1,0)</f>
        <v>1</v>
      </c>
    </row>
    <row r="168" spans="1:11" s="23" customFormat="1" ht="15" customHeight="1" x14ac:dyDescent="0.25">
      <c r="A168" s="20">
        <v>46289</v>
      </c>
      <c r="B168" s="21" t="s">
        <v>15</v>
      </c>
      <c r="C168" s="21" t="s">
        <v>700</v>
      </c>
      <c r="D168" s="21" t="s">
        <v>701</v>
      </c>
      <c r="E168" s="21" t="s">
        <v>359</v>
      </c>
      <c r="F168" s="21" t="s">
        <v>689</v>
      </c>
      <c r="G168" s="21" t="s">
        <v>702</v>
      </c>
      <c r="H168" s="21" t="s">
        <v>43</v>
      </c>
      <c r="I168" s="22">
        <v>1</v>
      </c>
      <c r="J168" s="21" t="s">
        <v>703</v>
      </c>
      <c r="K168" s="24">
        <f>IF(COUNTIFS($C$2:C168,C168)=1,1,0)</f>
        <v>1</v>
      </c>
    </row>
    <row r="169" spans="1:11" s="23" customFormat="1" ht="15" customHeight="1" x14ac:dyDescent="0.25">
      <c r="A169" s="20">
        <v>46290</v>
      </c>
      <c r="B169" s="21" t="s">
        <v>17</v>
      </c>
      <c r="C169" s="21" t="s">
        <v>704</v>
      </c>
      <c r="D169" s="21" t="s">
        <v>705</v>
      </c>
      <c r="E169" s="21" t="s">
        <v>693</v>
      </c>
      <c r="F169" s="21" t="s">
        <v>694</v>
      </c>
      <c r="G169" s="21" t="s">
        <v>706</v>
      </c>
      <c r="H169" s="21" t="s">
        <v>41</v>
      </c>
      <c r="I169" s="22">
        <v>4</v>
      </c>
      <c r="J169" s="21" t="s">
        <v>209</v>
      </c>
      <c r="K169" s="24">
        <f>IF(COUNTIFS($C$2:C169,C169)=1,1,0)</f>
        <v>1</v>
      </c>
    </row>
    <row r="170" spans="1:11" s="70" customFormat="1" ht="15" customHeight="1" x14ac:dyDescent="0.25">
      <c r="A170" s="66">
        <v>46293</v>
      </c>
      <c r="B170" s="67" t="s">
        <v>16</v>
      </c>
      <c r="C170" s="67" t="s">
        <v>707</v>
      </c>
      <c r="D170" s="67" t="s">
        <v>708</v>
      </c>
      <c r="E170" s="67" t="s">
        <v>537</v>
      </c>
      <c r="F170" s="67" t="s">
        <v>621</v>
      </c>
      <c r="G170" s="67" t="s">
        <v>709</v>
      </c>
      <c r="H170" s="67" t="s">
        <v>41</v>
      </c>
      <c r="I170" s="68">
        <v>5</v>
      </c>
      <c r="J170" s="67" t="s">
        <v>710</v>
      </c>
      <c r="K170" s="69">
        <f>IF(COUNTIFS($C$2:C170,C170)=1,1,0)</f>
        <v>1</v>
      </c>
    </row>
    <row r="171" spans="1:11" s="70" customFormat="1" ht="15" customHeight="1" x14ac:dyDescent="0.25">
      <c r="A171" s="66">
        <v>46293</v>
      </c>
      <c r="B171" s="67" t="s">
        <v>17</v>
      </c>
      <c r="C171" s="67" t="s">
        <v>711</v>
      </c>
      <c r="D171" s="67" t="s">
        <v>712</v>
      </c>
      <c r="E171" s="67" t="s">
        <v>693</v>
      </c>
      <c r="F171" s="67" t="s">
        <v>713</v>
      </c>
      <c r="G171" s="67" t="s">
        <v>714</v>
      </c>
      <c r="H171" s="67" t="s">
        <v>41</v>
      </c>
      <c r="I171" s="68">
        <v>4</v>
      </c>
      <c r="J171" s="67" t="s">
        <v>715</v>
      </c>
      <c r="K171" s="69">
        <f>IF(COUNTIFS($C$2:C171,C171)=1,1,0)</f>
        <v>1</v>
      </c>
    </row>
    <row r="172" spans="1:11" s="70" customFormat="1" ht="15" customHeight="1" x14ac:dyDescent="0.25">
      <c r="A172" s="66">
        <v>46293</v>
      </c>
      <c r="B172" s="67" t="s">
        <v>17</v>
      </c>
      <c r="C172" s="67" t="s">
        <v>716</v>
      </c>
      <c r="D172" s="67" t="s">
        <v>717</v>
      </c>
      <c r="E172" s="67" t="s">
        <v>693</v>
      </c>
      <c r="F172" s="67" t="s">
        <v>718</v>
      </c>
      <c r="G172" s="67" t="s">
        <v>719</v>
      </c>
      <c r="H172" s="67" t="s">
        <v>43</v>
      </c>
      <c r="I172" s="68">
        <v>3</v>
      </c>
      <c r="J172" s="67" t="s">
        <v>662</v>
      </c>
      <c r="K172" s="69">
        <f>IF(COUNTIFS($C$2:C172,C172)=1,1,0)</f>
        <v>1</v>
      </c>
    </row>
    <row r="173" spans="1:11" s="70" customFormat="1" ht="15" customHeight="1" x14ac:dyDescent="0.25">
      <c r="A173" s="66">
        <v>46293</v>
      </c>
      <c r="B173" s="67" t="s">
        <v>16</v>
      </c>
      <c r="C173" s="67" t="s">
        <v>720</v>
      </c>
      <c r="D173" s="67" t="s">
        <v>721</v>
      </c>
      <c r="E173" s="67" t="s">
        <v>537</v>
      </c>
      <c r="F173" s="67" t="s">
        <v>621</v>
      </c>
      <c r="G173" s="67" t="s">
        <v>722</v>
      </c>
      <c r="H173" s="67" t="s">
        <v>43</v>
      </c>
      <c r="I173" s="68">
        <v>2</v>
      </c>
      <c r="J173" s="67" t="s">
        <v>146</v>
      </c>
      <c r="K173" s="69">
        <f>IF(COUNTIFS($C$2:C173,C173)=1,1,0)</f>
        <v>1</v>
      </c>
    </row>
    <row r="174" spans="1:11" s="70" customFormat="1" ht="15" customHeight="1" x14ac:dyDescent="0.25">
      <c r="A174" s="66">
        <v>46293</v>
      </c>
      <c r="B174" s="67" t="s">
        <v>15</v>
      </c>
      <c r="C174" s="67" t="s">
        <v>723</v>
      </c>
      <c r="D174" s="67" t="s">
        <v>724</v>
      </c>
      <c r="E174" s="67" t="s">
        <v>359</v>
      </c>
      <c r="F174" s="67" t="s">
        <v>494</v>
      </c>
      <c r="G174" s="67" t="s">
        <v>725</v>
      </c>
      <c r="H174" s="67" t="s">
        <v>43</v>
      </c>
      <c r="I174" s="68">
        <v>2</v>
      </c>
      <c r="J174" s="67" t="s">
        <v>445</v>
      </c>
      <c r="K174" s="69">
        <f>IF(COUNTIFS($C$2:C174,C174)=1,1,0)</f>
        <v>1</v>
      </c>
    </row>
    <row r="175" spans="1:11" s="70" customFormat="1" ht="15" customHeight="1" x14ac:dyDescent="0.25">
      <c r="A175" s="66">
        <v>46293</v>
      </c>
      <c r="B175" s="67" t="s">
        <v>15</v>
      </c>
      <c r="C175" s="67" t="s">
        <v>726</v>
      </c>
      <c r="D175" s="67" t="s">
        <v>727</v>
      </c>
      <c r="E175" s="67" t="s">
        <v>359</v>
      </c>
      <c r="F175" s="67" t="s">
        <v>494</v>
      </c>
      <c r="G175" s="67" t="s">
        <v>728</v>
      </c>
      <c r="H175" s="67" t="s">
        <v>43</v>
      </c>
      <c r="I175" s="68">
        <v>2</v>
      </c>
      <c r="J175" s="67" t="s">
        <v>512</v>
      </c>
      <c r="K175" s="69">
        <f>IF(COUNTIFS($C$2:C175,C175)=1,1,0)</f>
        <v>1</v>
      </c>
    </row>
    <row r="176" spans="1:11" s="70" customFormat="1" ht="15" customHeight="1" x14ac:dyDescent="0.25">
      <c r="A176" s="66">
        <v>46293</v>
      </c>
      <c r="B176" s="67" t="s">
        <v>15</v>
      </c>
      <c r="C176" s="67" t="s">
        <v>729</v>
      </c>
      <c r="D176" s="67" t="s">
        <v>730</v>
      </c>
      <c r="E176" s="67" t="s">
        <v>359</v>
      </c>
      <c r="F176" s="67" t="s">
        <v>494</v>
      </c>
      <c r="G176" s="67" t="s">
        <v>731</v>
      </c>
      <c r="H176" s="67" t="s">
        <v>43</v>
      </c>
      <c r="I176" s="68">
        <v>1</v>
      </c>
      <c r="J176" s="67" t="s">
        <v>306</v>
      </c>
      <c r="K176" s="69">
        <f>IF(COUNTIFS($C$2:C176,C176)=1,1,0)</f>
        <v>1</v>
      </c>
    </row>
    <row r="177" spans="1:11" s="70" customFormat="1" ht="15" customHeight="1" x14ac:dyDescent="0.25">
      <c r="A177" s="66">
        <v>46293</v>
      </c>
      <c r="B177" s="67" t="s">
        <v>15</v>
      </c>
      <c r="C177" s="67" t="s">
        <v>732</v>
      </c>
      <c r="D177" s="67" t="s">
        <v>733</v>
      </c>
      <c r="E177" s="67" t="s">
        <v>359</v>
      </c>
      <c r="F177" s="67" t="s">
        <v>494</v>
      </c>
      <c r="G177" s="67" t="s">
        <v>734</v>
      </c>
      <c r="H177" s="67" t="s">
        <v>43</v>
      </c>
      <c r="I177" s="68">
        <v>1</v>
      </c>
      <c r="J177" s="67" t="s">
        <v>406</v>
      </c>
      <c r="K177" s="69">
        <f>IF(COUNTIFS($C$2:C177,C177)=1,1,0)</f>
        <v>1</v>
      </c>
    </row>
    <row r="178" spans="1:11" s="70" customFormat="1" ht="15" customHeight="1" x14ac:dyDescent="0.25">
      <c r="A178" s="66">
        <v>46294</v>
      </c>
      <c r="B178" s="67" t="s">
        <v>16</v>
      </c>
      <c r="C178" s="67" t="s">
        <v>735</v>
      </c>
      <c r="D178" s="67" t="s">
        <v>736</v>
      </c>
      <c r="E178" s="67" t="s">
        <v>537</v>
      </c>
      <c r="F178" s="67" t="s">
        <v>621</v>
      </c>
      <c r="G178" s="67" t="s">
        <v>737</v>
      </c>
      <c r="H178" s="67" t="s">
        <v>43</v>
      </c>
      <c r="I178" s="68">
        <v>6</v>
      </c>
      <c r="J178" s="67" t="s">
        <v>584</v>
      </c>
      <c r="K178" s="69">
        <f>IF(COUNTIFS($C$2:C178,C178)=1,1,0)</f>
        <v>1</v>
      </c>
    </row>
    <row r="179" spans="1:11" s="70" customFormat="1" ht="15" customHeight="1" x14ac:dyDescent="0.25">
      <c r="A179" s="66">
        <v>46294</v>
      </c>
      <c r="B179" s="67" t="s">
        <v>16</v>
      </c>
      <c r="C179" s="67" t="s">
        <v>738</v>
      </c>
      <c r="D179" s="67" t="s">
        <v>739</v>
      </c>
      <c r="E179" s="67" t="s">
        <v>537</v>
      </c>
      <c r="F179" s="67" t="s">
        <v>621</v>
      </c>
      <c r="G179" s="67" t="s">
        <v>740</v>
      </c>
      <c r="H179" s="67" t="s">
        <v>43</v>
      </c>
      <c r="I179" s="68">
        <v>3</v>
      </c>
      <c r="J179" s="67" t="s">
        <v>420</v>
      </c>
      <c r="K179" s="69">
        <f>IF(COUNTIFS($C$2:C179,C179)=1,1,0)</f>
        <v>1</v>
      </c>
    </row>
    <row r="180" spans="1:11" s="70" customFormat="1" ht="15" customHeight="1" x14ac:dyDescent="0.25">
      <c r="A180" s="66">
        <v>46294</v>
      </c>
      <c r="B180" s="67" t="s">
        <v>17</v>
      </c>
      <c r="C180" s="67" t="s">
        <v>741</v>
      </c>
      <c r="D180" s="67" t="s">
        <v>742</v>
      </c>
      <c r="E180" s="67" t="s">
        <v>693</v>
      </c>
      <c r="F180" s="67" t="s">
        <v>743</v>
      </c>
      <c r="G180" s="67" t="s">
        <v>744</v>
      </c>
      <c r="H180" s="67" t="s">
        <v>43</v>
      </c>
      <c r="I180" s="68">
        <v>3</v>
      </c>
      <c r="J180" s="67" t="s">
        <v>209</v>
      </c>
      <c r="K180" s="69">
        <f>IF(COUNTIFS($C$2:C180,C180)=1,1,0)</f>
        <v>1</v>
      </c>
    </row>
    <row r="181" spans="1:11" s="70" customFormat="1" ht="15" customHeight="1" x14ac:dyDescent="0.25">
      <c r="A181" s="66">
        <v>46294</v>
      </c>
      <c r="B181" s="67" t="s">
        <v>17</v>
      </c>
      <c r="C181" s="67" t="s">
        <v>745</v>
      </c>
      <c r="D181" s="67" t="s">
        <v>746</v>
      </c>
      <c r="E181" s="67" t="s">
        <v>693</v>
      </c>
      <c r="F181" s="67" t="s">
        <v>743</v>
      </c>
      <c r="G181" s="67" t="s">
        <v>744</v>
      </c>
      <c r="H181" s="67" t="s">
        <v>43</v>
      </c>
      <c r="I181" s="68">
        <v>3</v>
      </c>
      <c r="J181" s="67" t="s">
        <v>78</v>
      </c>
      <c r="K181" s="69">
        <f>IF(COUNTIFS($C$2:C181,C181)=1,1,0)</f>
        <v>1</v>
      </c>
    </row>
    <row r="182" spans="1:11" s="70" customFormat="1" ht="15" customHeight="1" x14ac:dyDescent="0.25">
      <c r="A182" s="66">
        <v>46294</v>
      </c>
      <c r="B182" s="67" t="s">
        <v>15</v>
      </c>
      <c r="C182" s="67" t="s">
        <v>747</v>
      </c>
      <c r="D182" s="67" t="s">
        <v>748</v>
      </c>
      <c r="E182" s="67" t="s">
        <v>749</v>
      </c>
      <c r="F182" s="67" t="s">
        <v>750</v>
      </c>
      <c r="G182" s="67" t="s">
        <v>751</v>
      </c>
      <c r="H182" s="67" t="s">
        <v>41</v>
      </c>
      <c r="I182" s="68">
        <v>2</v>
      </c>
      <c r="J182" s="67" t="s">
        <v>146</v>
      </c>
      <c r="K182" s="69">
        <f>IF(COUNTIFS($C$2:C182,C182)=1,1,0)</f>
        <v>1</v>
      </c>
    </row>
    <row r="183" spans="1:11" s="70" customFormat="1" ht="15" customHeight="1" x14ac:dyDescent="0.25">
      <c r="A183" s="66">
        <v>46294</v>
      </c>
      <c r="B183" s="67" t="s">
        <v>16</v>
      </c>
      <c r="C183" s="67" t="s">
        <v>752</v>
      </c>
      <c r="D183" s="67" t="s">
        <v>753</v>
      </c>
      <c r="E183" s="67" t="s">
        <v>537</v>
      </c>
      <c r="F183" s="67" t="s">
        <v>621</v>
      </c>
      <c r="G183" s="67" t="s">
        <v>754</v>
      </c>
      <c r="H183" s="67" t="s">
        <v>43</v>
      </c>
      <c r="I183" s="68">
        <v>1</v>
      </c>
      <c r="J183" s="67" t="s">
        <v>703</v>
      </c>
      <c r="K183" s="69">
        <f>IF(COUNTIFS($C$2:C183,C183)=1,1,0)</f>
        <v>1</v>
      </c>
    </row>
    <row r="184" spans="1:11" s="70" customFormat="1" ht="15" customHeight="1" x14ac:dyDescent="0.25">
      <c r="A184" s="66">
        <v>46294</v>
      </c>
      <c r="B184" s="67" t="s">
        <v>16</v>
      </c>
      <c r="C184" s="67" t="s">
        <v>755</v>
      </c>
      <c r="D184" s="67" t="s">
        <v>756</v>
      </c>
      <c r="E184" s="67" t="s">
        <v>537</v>
      </c>
      <c r="F184" s="67" t="s">
        <v>1015</v>
      </c>
      <c r="G184" s="67" t="s">
        <v>757</v>
      </c>
      <c r="H184" s="67" t="s">
        <v>43</v>
      </c>
      <c r="I184" s="68">
        <v>1</v>
      </c>
      <c r="J184" s="67" t="s">
        <v>406</v>
      </c>
      <c r="K184" s="69">
        <f>IF(COUNTIFS($C$2:C184,C184)=1,1,0)</f>
        <v>1</v>
      </c>
    </row>
    <row r="185" spans="1:11" s="70" customFormat="1" ht="15" customHeight="1" x14ac:dyDescent="0.25">
      <c r="A185" s="66">
        <v>46294</v>
      </c>
      <c r="B185" s="67" t="s">
        <v>15</v>
      </c>
      <c r="C185" s="67" t="s">
        <v>758</v>
      </c>
      <c r="D185" s="67" t="s">
        <v>759</v>
      </c>
      <c r="E185" s="67" t="s">
        <v>749</v>
      </c>
      <c r="F185" s="67" t="s">
        <v>750</v>
      </c>
      <c r="G185" s="67" t="s">
        <v>760</v>
      </c>
      <c r="H185" s="67" t="s">
        <v>43</v>
      </c>
      <c r="I185" s="68">
        <v>1</v>
      </c>
      <c r="J185" s="67" t="s">
        <v>63</v>
      </c>
      <c r="K185" s="69">
        <f>IF(COUNTIFS($C$2:C185,C185)=1,1,0)</f>
        <v>1</v>
      </c>
    </row>
    <row r="186" spans="1:11" s="70" customFormat="1" ht="15" customHeight="1" x14ac:dyDescent="0.25">
      <c r="A186" s="66">
        <v>46294</v>
      </c>
      <c r="B186" s="67" t="s">
        <v>15</v>
      </c>
      <c r="C186" s="67" t="s">
        <v>761</v>
      </c>
      <c r="D186" s="67" t="s">
        <v>762</v>
      </c>
      <c r="E186" s="67" t="s">
        <v>359</v>
      </c>
      <c r="F186" s="67" t="s">
        <v>494</v>
      </c>
      <c r="G186" s="67" t="s">
        <v>763</v>
      </c>
      <c r="H186" s="67" t="s">
        <v>43</v>
      </c>
      <c r="I186" s="68">
        <v>1</v>
      </c>
      <c r="J186" s="67" t="s">
        <v>227</v>
      </c>
      <c r="K186" s="69">
        <f>IF(COUNTIFS($C$2:C186,C186)=1,1,0)</f>
        <v>1</v>
      </c>
    </row>
    <row r="187" spans="1:11" s="70" customFormat="1" ht="15" customHeight="1" x14ac:dyDescent="0.25">
      <c r="A187" s="66">
        <v>46294</v>
      </c>
      <c r="B187" s="67" t="s">
        <v>15</v>
      </c>
      <c r="C187" s="67" t="s">
        <v>764</v>
      </c>
      <c r="D187" s="67" t="s">
        <v>765</v>
      </c>
      <c r="E187" s="67" t="s">
        <v>359</v>
      </c>
      <c r="F187" s="67" t="s">
        <v>1016</v>
      </c>
      <c r="G187" s="67" t="s">
        <v>766</v>
      </c>
      <c r="H187" s="67" t="s">
        <v>43</v>
      </c>
      <c r="I187" s="68">
        <v>1</v>
      </c>
      <c r="J187" s="67" t="s">
        <v>767</v>
      </c>
      <c r="K187" s="69">
        <f>IF(COUNTIFS($C$2:C187,C187)=1,1,0)</f>
        <v>1</v>
      </c>
    </row>
    <row r="188" spans="1:11" s="70" customFormat="1" ht="15" customHeight="1" x14ac:dyDescent="0.25">
      <c r="A188" s="66">
        <v>46295</v>
      </c>
      <c r="B188" s="67" t="s">
        <v>16</v>
      </c>
      <c r="C188" s="67" t="s">
        <v>768</v>
      </c>
      <c r="D188" s="67" t="s">
        <v>769</v>
      </c>
      <c r="E188" s="67" t="s">
        <v>537</v>
      </c>
      <c r="F188" s="67" t="s">
        <v>770</v>
      </c>
      <c r="G188" s="67" t="s">
        <v>771</v>
      </c>
      <c r="H188" s="67" t="s">
        <v>40</v>
      </c>
      <c r="I188" s="68">
        <v>6</v>
      </c>
      <c r="J188" s="67" t="s">
        <v>135</v>
      </c>
      <c r="K188" s="69">
        <f>IF(COUNTIFS($C$2:C188,C188)=1,1,0)</f>
        <v>1</v>
      </c>
    </row>
    <row r="189" spans="1:11" s="70" customFormat="1" ht="15" customHeight="1" x14ac:dyDescent="0.25">
      <c r="A189" s="66">
        <v>46295</v>
      </c>
      <c r="B189" s="67" t="s">
        <v>15</v>
      </c>
      <c r="C189" s="67" t="s">
        <v>772</v>
      </c>
      <c r="D189" s="67" t="s">
        <v>773</v>
      </c>
      <c r="E189" s="67" t="s">
        <v>749</v>
      </c>
      <c r="F189" s="67" t="s">
        <v>774</v>
      </c>
      <c r="G189" s="67" t="s">
        <v>775</v>
      </c>
      <c r="H189" s="67" t="s">
        <v>41</v>
      </c>
      <c r="I189" s="68">
        <v>5</v>
      </c>
      <c r="J189" s="67" t="s">
        <v>362</v>
      </c>
      <c r="K189" s="69">
        <f>IF(COUNTIFS($C$2:C189,C189)=1,1,0)</f>
        <v>1</v>
      </c>
    </row>
    <row r="190" spans="1:11" s="70" customFormat="1" ht="15" customHeight="1" x14ac:dyDescent="0.25">
      <c r="A190" s="66">
        <v>46295</v>
      </c>
      <c r="B190" s="67" t="s">
        <v>17</v>
      </c>
      <c r="C190" s="67" t="s">
        <v>776</v>
      </c>
      <c r="D190" s="67" t="s">
        <v>777</v>
      </c>
      <c r="E190" s="67" t="s">
        <v>693</v>
      </c>
      <c r="F190" s="67" t="s">
        <v>743</v>
      </c>
      <c r="G190" s="67" t="s">
        <v>744</v>
      </c>
      <c r="H190" s="67" t="s">
        <v>43</v>
      </c>
      <c r="I190" s="68">
        <v>5</v>
      </c>
      <c r="J190" s="67" t="s">
        <v>778</v>
      </c>
      <c r="K190" s="69">
        <f>IF(COUNTIFS($C$2:C190,C190)=1,1,0)</f>
        <v>1</v>
      </c>
    </row>
    <row r="191" spans="1:11" s="70" customFormat="1" ht="15" customHeight="1" x14ac:dyDescent="0.25">
      <c r="A191" s="66">
        <v>46295</v>
      </c>
      <c r="B191" s="67" t="s">
        <v>16</v>
      </c>
      <c r="C191" s="67" t="s">
        <v>779</v>
      </c>
      <c r="D191" s="67" t="s">
        <v>780</v>
      </c>
      <c r="E191" s="67" t="s">
        <v>537</v>
      </c>
      <c r="F191" s="67" t="s">
        <v>582</v>
      </c>
      <c r="G191" s="67" t="s">
        <v>781</v>
      </c>
      <c r="H191" s="67" t="s">
        <v>43</v>
      </c>
      <c r="I191" s="68">
        <v>3</v>
      </c>
      <c r="J191" s="67" t="s">
        <v>782</v>
      </c>
      <c r="K191" s="69">
        <f>IF(COUNTIFS($C$2:C191,C191)=1,1,0)</f>
        <v>1</v>
      </c>
    </row>
    <row r="192" spans="1:11" s="70" customFormat="1" ht="15" customHeight="1" x14ac:dyDescent="0.25">
      <c r="A192" s="66">
        <v>46295</v>
      </c>
      <c r="B192" s="67" t="s">
        <v>17</v>
      </c>
      <c r="C192" s="67" t="s">
        <v>783</v>
      </c>
      <c r="D192" s="67" t="s">
        <v>784</v>
      </c>
      <c r="E192" s="67" t="s">
        <v>693</v>
      </c>
      <c r="F192" s="67" t="s">
        <v>785</v>
      </c>
      <c r="G192" s="67" t="s">
        <v>786</v>
      </c>
      <c r="H192" s="67" t="s">
        <v>41</v>
      </c>
      <c r="I192" s="68">
        <v>1</v>
      </c>
      <c r="J192" s="67" t="s">
        <v>371</v>
      </c>
      <c r="K192" s="69">
        <f>IF(COUNTIFS($C$2:C192,C192)=1,1,0)</f>
        <v>1</v>
      </c>
    </row>
    <row r="193" spans="1:11" s="70" customFormat="1" ht="15" customHeight="1" x14ac:dyDescent="0.25">
      <c r="A193" s="66">
        <v>46295</v>
      </c>
      <c r="B193" s="67" t="s">
        <v>15</v>
      </c>
      <c r="C193" s="67" t="s">
        <v>787</v>
      </c>
      <c r="D193" s="67" t="s">
        <v>788</v>
      </c>
      <c r="E193" s="67" t="s">
        <v>749</v>
      </c>
      <c r="F193" s="67" t="s">
        <v>789</v>
      </c>
      <c r="G193" s="67" t="s">
        <v>790</v>
      </c>
      <c r="H193" s="67" t="s">
        <v>41</v>
      </c>
      <c r="I193" s="68">
        <v>1</v>
      </c>
      <c r="J193" s="67" t="s">
        <v>683</v>
      </c>
      <c r="K193" s="69">
        <f>IF(COUNTIFS($C$2:C193,C193)=1,1,0)</f>
        <v>1</v>
      </c>
    </row>
    <row r="194" spans="1:11" s="70" customFormat="1" ht="15" customHeight="1" x14ac:dyDescent="0.25">
      <c r="A194" s="66">
        <v>46295</v>
      </c>
      <c r="B194" s="67" t="s">
        <v>15</v>
      </c>
      <c r="C194" s="67" t="s">
        <v>791</v>
      </c>
      <c r="D194" s="67" t="s">
        <v>792</v>
      </c>
      <c r="E194" s="67" t="s">
        <v>749</v>
      </c>
      <c r="F194" s="67" t="s">
        <v>789</v>
      </c>
      <c r="G194" s="67" t="s">
        <v>793</v>
      </c>
      <c r="H194" s="67" t="s">
        <v>43</v>
      </c>
      <c r="I194" s="68">
        <v>1</v>
      </c>
      <c r="J194" s="67" t="s">
        <v>429</v>
      </c>
      <c r="K194" s="69">
        <f>IF(COUNTIFS($C$2:C194,C194)=1,1,0)</f>
        <v>1</v>
      </c>
    </row>
    <row r="195" spans="1:11" s="70" customFormat="1" ht="15" customHeight="1" x14ac:dyDescent="0.25">
      <c r="A195" s="66">
        <v>46296</v>
      </c>
      <c r="B195" s="67" t="s">
        <v>15</v>
      </c>
      <c r="C195" s="67" t="s">
        <v>794</v>
      </c>
      <c r="D195" s="67" t="s">
        <v>795</v>
      </c>
      <c r="E195" s="67" t="s">
        <v>749</v>
      </c>
      <c r="F195" s="67" t="s">
        <v>796</v>
      </c>
      <c r="G195" s="67" t="s">
        <v>797</v>
      </c>
      <c r="H195" s="67" t="s">
        <v>41</v>
      </c>
      <c r="I195" s="68">
        <v>4</v>
      </c>
      <c r="J195" s="67" t="s">
        <v>798</v>
      </c>
      <c r="K195" s="69">
        <f>IF(COUNTIFS($C$2:C195,C195)=1,1,0)</f>
        <v>1</v>
      </c>
    </row>
    <row r="196" spans="1:11" s="70" customFormat="1" ht="15" customHeight="1" x14ac:dyDescent="0.25">
      <c r="A196" s="66">
        <v>46296</v>
      </c>
      <c r="B196" s="67" t="s">
        <v>17</v>
      </c>
      <c r="C196" s="67" t="s">
        <v>799</v>
      </c>
      <c r="D196" s="67" t="s">
        <v>800</v>
      </c>
      <c r="E196" s="67" t="s">
        <v>693</v>
      </c>
      <c r="F196" s="67" t="s">
        <v>801</v>
      </c>
      <c r="G196" s="67" t="s">
        <v>802</v>
      </c>
      <c r="H196" s="67" t="s">
        <v>41</v>
      </c>
      <c r="I196" s="68">
        <v>3</v>
      </c>
      <c r="J196" s="67" t="s">
        <v>803</v>
      </c>
      <c r="K196" s="69">
        <f>IF(COUNTIFS($C$2:C196,C196)=1,1,0)</f>
        <v>1</v>
      </c>
    </row>
    <row r="197" spans="1:11" s="70" customFormat="1" ht="15" customHeight="1" x14ac:dyDescent="0.25">
      <c r="A197" s="66">
        <v>46296</v>
      </c>
      <c r="B197" s="67" t="s">
        <v>17</v>
      </c>
      <c r="C197" s="73" t="s">
        <v>804</v>
      </c>
      <c r="D197" s="67" t="s">
        <v>805</v>
      </c>
      <c r="E197" s="67" t="s">
        <v>693</v>
      </c>
      <c r="F197" s="67" t="s">
        <v>806</v>
      </c>
      <c r="G197" s="67" t="s">
        <v>807</v>
      </c>
      <c r="H197" s="67" t="s">
        <v>43</v>
      </c>
      <c r="I197" s="68">
        <v>3</v>
      </c>
      <c r="J197" s="67" t="s">
        <v>808</v>
      </c>
      <c r="K197" s="69">
        <f>IF(COUNTIFS($C$2:C197,C197)=1,1,0)</f>
        <v>1</v>
      </c>
    </row>
    <row r="198" spans="1:11" s="70" customFormat="1" ht="15" customHeight="1" x14ac:dyDescent="0.25">
      <c r="A198" s="66">
        <v>46296</v>
      </c>
      <c r="B198" s="67" t="s">
        <v>15</v>
      </c>
      <c r="C198" s="67" t="s">
        <v>809</v>
      </c>
      <c r="D198" s="67" t="s">
        <v>810</v>
      </c>
      <c r="E198" s="67" t="s">
        <v>749</v>
      </c>
      <c r="F198" s="67" t="s">
        <v>796</v>
      </c>
      <c r="G198" s="67" t="s">
        <v>811</v>
      </c>
      <c r="H198" s="67" t="s">
        <v>43</v>
      </c>
      <c r="I198" s="68">
        <v>1</v>
      </c>
      <c r="J198" s="67" t="s">
        <v>812</v>
      </c>
      <c r="K198" s="69">
        <f>IF(COUNTIFS($C$2:C198,C198)=1,1,0)</f>
        <v>1</v>
      </c>
    </row>
    <row r="199" spans="1:11" s="70" customFormat="1" ht="15" customHeight="1" x14ac:dyDescent="0.25">
      <c r="A199" s="66">
        <v>46296</v>
      </c>
      <c r="B199" s="67" t="s">
        <v>15</v>
      </c>
      <c r="C199" s="67" t="s">
        <v>813</v>
      </c>
      <c r="D199" s="67" t="s">
        <v>814</v>
      </c>
      <c r="E199" s="67" t="s">
        <v>749</v>
      </c>
      <c r="F199" s="67" t="s">
        <v>815</v>
      </c>
      <c r="G199" s="67" t="s">
        <v>816</v>
      </c>
      <c r="H199" s="67" t="s">
        <v>43</v>
      </c>
      <c r="I199" s="68">
        <v>1</v>
      </c>
      <c r="J199" s="67" t="s">
        <v>306</v>
      </c>
      <c r="K199" s="69">
        <f>IF(COUNTIFS($C$2:C199,C199)=1,1,0)</f>
        <v>1</v>
      </c>
    </row>
    <row r="200" spans="1:11" s="70" customFormat="1" ht="15" customHeight="1" x14ac:dyDescent="0.25">
      <c r="A200" s="66">
        <v>46297</v>
      </c>
      <c r="B200" s="67" t="s">
        <v>15</v>
      </c>
      <c r="C200" s="67" t="s">
        <v>817</v>
      </c>
      <c r="D200" s="67" t="s">
        <v>818</v>
      </c>
      <c r="E200" s="67" t="s">
        <v>749</v>
      </c>
      <c r="F200" s="67" t="s">
        <v>774</v>
      </c>
      <c r="G200" s="67" t="s">
        <v>819</v>
      </c>
      <c r="H200" s="67" t="s">
        <v>41</v>
      </c>
      <c r="I200" s="68">
        <v>3</v>
      </c>
      <c r="J200" s="67" t="s">
        <v>165</v>
      </c>
      <c r="K200" s="69">
        <f>IF(COUNTIFS($C$2:C200,C200)=1,1,0)</f>
        <v>1</v>
      </c>
    </row>
    <row r="201" spans="1:11" s="70" customFormat="1" ht="15" customHeight="1" x14ac:dyDescent="0.25">
      <c r="A201" s="66">
        <v>46297</v>
      </c>
      <c r="B201" s="67" t="s">
        <v>15</v>
      </c>
      <c r="C201" s="67" t="s">
        <v>820</v>
      </c>
      <c r="D201" s="67" t="s">
        <v>821</v>
      </c>
      <c r="E201" s="67" t="s">
        <v>749</v>
      </c>
      <c r="F201" s="67" t="s">
        <v>774</v>
      </c>
      <c r="G201" s="67" t="s">
        <v>822</v>
      </c>
      <c r="H201" s="67" t="s">
        <v>41</v>
      </c>
      <c r="I201" s="68">
        <v>3</v>
      </c>
      <c r="J201" s="67" t="s">
        <v>823</v>
      </c>
      <c r="K201" s="69">
        <f>IF(COUNTIFS($C$2:C201,C201)=1,1,0)</f>
        <v>1</v>
      </c>
    </row>
    <row r="202" spans="1:11" s="70" customFormat="1" ht="15" customHeight="1" x14ac:dyDescent="0.25">
      <c r="A202" s="66">
        <v>46297</v>
      </c>
      <c r="B202" s="67" t="s">
        <v>15</v>
      </c>
      <c r="C202" s="67" t="s">
        <v>824</v>
      </c>
      <c r="D202" s="67" t="s">
        <v>825</v>
      </c>
      <c r="E202" s="67" t="s">
        <v>749</v>
      </c>
      <c r="F202" s="67" t="s">
        <v>826</v>
      </c>
      <c r="G202" s="67" t="s">
        <v>827</v>
      </c>
      <c r="H202" s="67" t="s">
        <v>41</v>
      </c>
      <c r="I202" s="68">
        <v>2</v>
      </c>
      <c r="J202" s="67" t="s">
        <v>353</v>
      </c>
      <c r="K202" s="69">
        <f>IF(COUNTIFS($C$2:C202,C202)=1,1,0)</f>
        <v>1</v>
      </c>
    </row>
    <row r="203" spans="1:11" s="65" customFormat="1" ht="15" customHeight="1" x14ac:dyDescent="0.25">
      <c r="A203" s="61">
        <v>46300</v>
      </c>
      <c r="B203" s="62" t="s">
        <v>16</v>
      </c>
      <c r="C203" s="62" t="s">
        <v>828</v>
      </c>
      <c r="D203" s="62" t="s">
        <v>829</v>
      </c>
      <c r="E203" s="62" t="s">
        <v>537</v>
      </c>
      <c r="F203" s="62" t="s">
        <v>830</v>
      </c>
      <c r="G203" s="62" t="s">
        <v>831</v>
      </c>
      <c r="H203" s="62" t="s">
        <v>41</v>
      </c>
      <c r="I203" s="63">
        <v>2</v>
      </c>
      <c r="J203" s="62" t="s">
        <v>272</v>
      </c>
      <c r="K203" s="64">
        <f>IF(COUNTIFS($C$2:C203,C203)=1,1,0)</f>
        <v>1</v>
      </c>
    </row>
    <row r="204" spans="1:11" s="65" customFormat="1" ht="15" customHeight="1" x14ac:dyDescent="0.25">
      <c r="A204" s="61">
        <v>46300</v>
      </c>
      <c r="B204" s="62" t="s">
        <v>16</v>
      </c>
      <c r="C204" s="62" t="s">
        <v>832</v>
      </c>
      <c r="D204" s="62" t="s">
        <v>833</v>
      </c>
      <c r="E204" s="62" t="s">
        <v>537</v>
      </c>
      <c r="F204" s="62" t="s">
        <v>834</v>
      </c>
      <c r="G204" s="62" t="s">
        <v>835</v>
      </c>
      <c r="H204" s="62" t="s">
        <v>43</v>
      </c>
      <c r="I204" s="63">
        <v>1</v>
      </c>
      <c r="J204" s="62" t="s">
        <v>302</v>
      </c>
      <c r="K204" s="64">
        <f>IF(COUNTIFS($C$2:C204,C204)=1,1,0)</f>
        <v>1</v>
      </c>
    </row>
    <row r="205" spans="1:11" s="65" customFormat="1" ht="15" customHeight="1" x14ac:dyDescent="0.25">
      <c r="A205" s="61">
        <v>46300</v>
      </c>
      <c r="B205" s="62" t="s">
        <v>16</v>
      </c>
      <c r="C205" s="62" t="s">
        <v>836</v>
      </c>
      <c r="D205" s="62" t="s">
        <v>837</v>
      </c>
      <c r="E205" s="62" t="s">
        <v>537</v>
      </c>
      <c r="F205" s="62" t="s">
        <v>830</v>
      </c>
      <c r="G205" s="62" t="s">
        <v>838</v>
      </c>
      <c r="H205" s="62" t="s">
        <v>43</v>
      </c>
      <c r="I205" s="63">
        <v>1</v>
      </c>
      <c r="J205" s="62" t="s">
        <v>306</v>
      </c>
      <c r="K205" s="64">
        <f>IF(COUNTIFS($C$2:C205,C205)=1,1,0)</f>
        <v>1</v>
      </c>
    </row>
    <row r="206" spans="1:11" s="65" customFormat="1" ht="15" customHeight="1" x14ac:dyDescent="0.25">
      <c r="A206" s="61">
        <v>46301</v>
      </c>
      <c r="B206" s="62" t="s">
        <v>15</v>
      </c>
      <c r="C206" s="62" t="s">
        <v>839</v>
      </c>
      <c r="D206" s="62" t="s">
        <v>840</v>
      </c>
      <c r="E206" s="62" t="s">
        <v>749</v>
      </c>
      <c r="F206" s="62" t="s">
        <v>774</v>
      </c>
      <c r="G206" s="62" t="s">
        <v>841</v>
      </c>
      <c r="H206" s="62" t="s">
        <v>41</v>
      </c>
      <c r="I206" s="63">
        <v>6</v>
      </c>
      <c r="J206" s="62" t="s">
        <v>568</v>
      </c>
      <c r="K206" s="64">
        <f>IF(COUNTIFS($C$2:C206,C206)=1,1,0)</f>
        <v>1</v>
      </c>
    </row>
    <row r="207" spans="1:11" s="65" customFormat="1" ht="15" customHeight="1" x14ac:dyDescent="0.25">
      <c r="A207" s="61">
        <v>46301</v>
      </c>
      <c r="B207" s="62" t="s">
        <v>17</v>
      </c>
      <c r="C207" s="62" t="s">
        <v>842</v>
      </c>
      <c r="D207" s="62" t="s">
        <v>843</v>
      </c>
      <c r="E207" s="62" t="s">
        <v>385</v>
      </c>
      <c r="F207" s="62" t="s">
        <v>844</v>
      </c>
      <c r="G207" s="62" t="s">
        <v>845</v>
      </c>
      <c r="H207" s="62" t="s">
        <v>41</v>
      </c>
      <c r="I207" s="63">
        <v>4</v>
      </c>
      <c r="J207" s="62" t="s">
        <v>603</v>
      </c>
      <c r="K207" s="64">
        <f>IF(COUNTIFS($C$2:C207,C207)=1,1,0)</f>
        <v>1</v>
      </c>
    </row>
    <row r="208" spans="1:11" s="65" customFormat="1" ht="15" customHeight="1" x14ac:dyDescent="0.25">
      <c r="A208" s="61">
        <v>46301</v>
      </c>
      <c r="B208" s="62" t="s">
        <v>17</v>
      </c>
      <c r="C208" s="62" t="s">
        <v>846</v>
      </c>
      <c r="D208" s="62" t="s">
        <v>847</v>
      </c>
      <c r="E208" s="62" t="s">
        <v>385</v>
      </c>
      <c r="F208" s="62" t="s">
        <v>848</v>
      </c>
      <c r="G208" s="62" t="s">
        <v>849</v>
      </c>
      <c r="H208" s="62" t="s">
        <v>41</v>
      </c>
      <c r="I208" s="63">
        <v>3</v>
      </c>
      <c r="J208" s="62" t="s">
        <v>87</v>
      </c>
      <c r="K208" s="64">
        <f>IF(COUNTIFS($C$2:C208,C208)=1,1,0)</f>
        <v>1</v>
      </c>
    </row>
    <row r="209" spans="1:11" s="65" customFormat="1" ht="15" customHeight="1" x14ac:dyDescent="0.25">
      <c r="A209" s="61">
        <v>46301</v>
      </c>
      <c r="B209" s="62" t="s">
        <v>16</v>
      </c>
      <c r="C209" s="62" t="s">
        <v>850</v>
      </c>
      <c r="D209" s="62" t="s">
        <v>851</v>
      </c>
      <c r="E209" s="62" t="s">
        <v>537</v>
      </c>
      <c r="F209" s="62" t="s">
        <v>834</v>
      </c>
      <c r="G209" s="62" t="s">
        <v>852</v>
      </c>
      <c r="H209" s="62" t="s">
        <v>41</v>
      </c>
      <c r="I209" s="63">
        <v>2</v>
      </c>
      <c r="J209" s="62" t="s">
        <v>267</v>
      </c>
      <c r="K209" s="64">
        <f>IF(COUNTIFS($C$2:C209,C209)=1,1,0)</f>
        <v>1</v>
      </c>
    </row>
    <row r="210" spans="1:11" s="65" customFormat="1" ht="15" customHeight="1" x14ac:dyDescent="0.25">
      <c r="A210" s="61">
        <v>46301</v>
      </c>
      <c r="B210" s="62" t="s">
        <v>16</v>
      </c>
      <c r="C210" s="62" t="s">
        <v>853</v>
      </c>
      <c r="D210" s="62" t="s">
        <v>854</v>
      </c>
      <c r="E210" s="62" t="s">
        <v>855</v>
      </c>
      <c r="F210" s="62" t="s">
        <v>856</v>
      </c>
      <c r="G210" s="62" t="s">
        <v>857</v>
      </c>
      <c r="H210" s="62" t="s">
        <v>41</v>
      </c>
      <c r="I210" s="63">
        <v>2</v>
      </c>
      <c r="J210" s="62" t="s">
        <v>371</v>
      </c>
      <c r="K210" s="64">
        <f>IF(COUNTIFS($C$2:C210,C210)=1,1,0)</f>
        <v>1</v>
      </c>
    </row>
    <row r="211" spans="1:11" s="65" customFormat="1" ht="15" customHeight="1" x14ac:dyDescent="0.25">
      <c r="A211" s="61">
        <v>46301</v>
      </c>
      <c r="B211" s="62" t="s">
        <v>15</v>
      </c>
      <c r="C211" s="62" t="s">
        <v>858</v>
      </c>
      <c r="D211" s="62" t="s">
        <v>859</v>
      </c>
      <c r="E211" s="62" t="s">
        <v>749</v>
      </c>
      <c r="F211" s="62" t="s">
        <v>774</v>
      </c>
      <c r="G211" s="62" t="s">
        <v>860</v>
      </c>
      <c r="H211" s="62" t="s">
        <v>43</v>
      </c>
      <c r="I211" s="63">
        <v>2</v>
      </c>
      <c r="J211" s="62" t="s">
        <v>371</v>
      </c>
      <c r="K211" s="64">
        <f>IF(COUNTIFS($C$2:C211,C211)=1,1,0)</f>
        <v>1</v>
      </c>
    </row>
    <row r="212" spans="1:11" s="65" customFormat="1" ht="15" customHeight="1" x14ac:dyDescent="0.25">
      <c r="A212" s="61">
        <v>46301</v>
      </c>
      <c r="B212" s="62" t="s">
        <v>16</v>
      </c>
      <c r="C212" s="62" t="s">
        <v>861</v>
      </c>
      <c r="D212" s="62" t="s">
        <v>862</v>
      </c>
      <c r="E212" s="62" t="s">
        <v>537</v>
      </c>
      <c r="F212" s="62" t="s">
        <v>863</v>
      </c>
      <c r="G212" s="62" t="s">
        <v>864</v>
      </c>
      <c r="H212" s="62" t="s">
        <v>41</v>
      </c>
      <c r="I212" s="63">
        <v>1</v>
      </c>
      <c r="J212" s="62" t="s">
        <v>96</v>
      </c>
      <c r="K212" s="64">
        <f>IF(COUNTIFS($C$2:C212,C212)=1,1,0)</f>
        <v>1</v>
      </c>
    </row>
    <row r="213" spans="1:11" s="65" customFormat="1" ht="15" customHeight="1" x14ac:dyDescent="0.25">
      <c r="A213" s="61">
        <v>46302</v>
      </c>
      <c r="B213" s="62" t="s">
        <v>16</v>
      </c>
      <c r="C213" s="62" t="s">
        <v>865</v>
      </c>
      <c r="D213" s="62" t="s">
        <v>866</v>
      </c>
      <c r="E213" s="62" t="s">
        <v>855</v>
      </c>
      <c r="F213" s="62" t="s">
        <v>867</v>
      </c>
      <c r="G213" s="62" t="s">
        <v>868</v>
      </c>
      <c r="H213" s="62" t="s">
        <v>41</v>
      </c>
      <c r="I213" s="63">
        <v>8</v>
      </c>
      <c r="J213" s="62" t="s">
        <v>869</v>
      </c>
      <c r="K213" s="64">
        <f>IF(COUNTIFS($C$2:C213,C213)=1,1,0)</f>
        <v>1</v>
      </c>
    </row>
    <row r="214" spans="1:11" s="65" customFormat="1" ht="15" customHeight="1" x14ac:dyDescent="0.25">
      <c r="A214" s="61">
        <v>46302</v>
      </c>
      <c r="B214" s="62" t="s">
        <v>15</v>
      </c>
      <c r="C214" s="62" t="s">
        <v>870</v>
      </c>
      <c r="D214" s="62" t="s">
        <v>871</v>
      </c>
      <c r="E214" s="62" t="s">
        <v>749</v>
      </c>
      <c r="F214" s="62" t="s">
        <v>774</v>
      </c>
      <c r="G214" s="62" t="s">
        <v>872</v>
      </c>
      <c r="H214" s="62" t="s">
        <v>41</v>
      </c>
      <c r="I214" s="63">
        <v>7</v>
      </c>
      <c r="J214" s="62" t="s">
        <v>534</v>
      </c>
      <c r="K214" s="64">
        <f>IF(COUNTIFS($C$2:C214,C214)=1,1,0)</f>
        <v>1</v>
      </c>
    </row>
    <row r="215" spans="1:11" s="65" customFormat="1" ht="15" customHeight="1" x14ac:dyDescent="0.25">
      <c r="A215" s="61">
        <v>46302</v>
      </c>
      <c r="B215" s="62" t="s">
        <v>16</v>
      </c>
      <c r="C215" s="62" t="s">
        <v>873</v>
      </c>
      <c r="D215" s="62" t="s">
        <v>874</v>
      </c>
      <c r="E215" s="62" t="s">
        <v>855</v>
      </c>
      <c r="F215" s="62" t="s">
        <v>867</v>
      </c>
      <c r="G215" s="62" t="s">
        <v>875</v>
      </c>
      <c r="H215" s="62" t="s">
        <v>41</v>
      </c>
      <c r="I215" s="63">
        <v>3</v>
      </c>
      <c r="J215" s="62" t="s">
        <v>876</v>
      </c>
      <c r="K215" s="64">
        <f>IF(COUNTIFS($C$2:C215,C215)=1,1,0)</f>
        <v>1</v>
      </c>
    </row>
    <row r="216" spans="1:11" s="65" customFormat="1" ht="15" customHeight="1" x14ac:dyDescent="0.25">
      <c r="A216" s="61">
        <v>46302</v>
      </c>
      <c r="B216" s="62" t="s">
        <v>17</v>
      </c>
      <c r="C216" s="62" t="s">
        <v>877</v>
      </c>
      <c r="D216" s="62" t="s">
        <v>878</v>
      </c>
      <c r="E216" s="62" t="s">
        <v>385</v>
      </c>
      <c r="F216" s="62" t="s">
        <v>848</v>
      </c>
      <c r="G216" s="62" t="s">
        <v>879</v>
      </c>
      <c r="H216" s="62" t="s">
        <v>41</v>
      </c>
      <c r="I216" s="63">
        <v>3</v>
      </c>
      <c r="J216" s="62" t="s">
        <v>209</v>
      </c>
      <c r="K216" s="64">
        <f>IF(COUNTIFS($C$2:C216,C216)=1,1,0)</f>
        <v>1</v>
      </c>
    </row>
    <row r="217" spans="1:11" s="65" customFormat="1" ht="15" customHeight="1" x14ac:dyDescent="0.25">
      <c r="A217" s="61">
        <v>46302</v>
      </c>
      <c r="B217" s="62" t="s">
        <v>15</v>
      </c>
      <c r="C217" s="62" t="s">
        <v>880</v>
      </c>
      <c r="D217" s="62" t="s">
        <v>881</v>
      </c>
      <c r="E217" s="62" t="s">
        <v>749</v>
      </c>
      <c r="F217" s="62" t="s">
        <v>774</v>
      </c>
      <c r="G217" s="62" t="s">
        <v>882</v>
      </c>
      <c r="H217" s="62" t="s">
        <v>43</v>
      </c>
      <c r="I217" s="63">
        <v>3</v>
      </c>
      <c r="J217" s="62" t="s">
        <v>116</v>
      </c>
      <c r="K217" s="64">
        <f>IF(COUNTIFS($C$2:C217,C217)=1,1,0)</f>
        <v>1</v>
      </c>
    </row>
    <row r="218" spans="1:11" s="65" customFormat="1" ht="15" customHeight="1" x14ac:dyDescent="0.25">
      <c r="A218" s="61">
        <v>46302</v>
      </c>
      <c r="B218" s="62" t="s">
        <v>15</v>
      </c>
      <c r="C218" s="62" t="s">
        <v>883</v>
      </c>
      <c r="D218" s="62" t="s">
        <v>884</v>
      </c>
      <c r="E218" s="62" t="s">
        <v>749</v>
      </c>
      <c r="F218" s="62" t="s">
        <v>885</v>
      </c>
      <c r="G218" s="62" t="s">
        <v>886</v>
      </c>
      <c r="H218" s="62" t="s">
        <v>43</v>
      </c>
      <c r="I218" s="63">
        <v>1</v>
      </c>
      <c r="J218" s="62" t="s">
        <v>406</v>
      </c>
      <c r="K218" s="64">
        <f>IF(COUNTIFS($C$2:C218,C218)=1,1,0)</f>
        <v>1</v>
      </c>
    </row>
    <row r="219" spans="1:11" s="65" customFormat="1" ht="15" customHeight="1" x14ac:dyDescent="0.25">
      <c r="A219" s="61">
        <v>46303</v>
      </c>
      <c r="B219" s="62" t="s">
        <v>16</v>
      </c>
      <c r="C219" s="62" t="s">
        <v>887</v>
      </c>
      <c r="D219" s="62" t="s">
        <v>888</v>
      </c>
      <c r="E219" s="62" t="s">
        <v>855</v>
      </c>
      <c r="F219" s="62" t="s">
        <v>867</v>
      </c>
      <c r="G219" s="62" t="s">
        <v>889</v>
      </c>
      <c r="H219" s="62" t="s">
        <v>41</v>
      </c>
      <c r="I219" s="63">
        <v>6</v>
      </c>
      <c r="J219" s="62" t="s">
        <v>584</v>
      </c>
      <c r="K219" s="64">
        <f>IF(COUNTIFS($C$2:C219,C219)=1,1,0)</f>
        <v>1</v>
      </c>
    </row>
    <row r="220" spans="1:11" s="65" customFormat="1" ht="15" customHeight="1" x14ac:dyDescent="0.25">
      <c r="A220" s="61">
        <v>46303</v>
      </c>
      <c r="B220" s="62" t="s">
        <v>15</v>
      </c>
      <c r="C220" s="62" t="s">
        <v>890</v>
      </c>
      <c r="D220" s="62" t="s">
        <v>891</v>
      </c>
      <c r="E220" s="62" t="s">
        <v>749</v>
      </c>
      <c r="F220" s="62" t="s">
        <v>885</v>
      </c>
      <c r="G220" s="62" t="s">
        <v>892</v>
      </c>
      <c r="H220" s="62" t="s">
        <v>41</v>
      </c>
      <c r="I220" s="63">
        <v>2</v>
      </c>
      <c r="J220" s="62" t="s">
        <v>267</v>
      </c>
      <c r="K220" s="64">
        <f>IF(COUNTIFS($C$2:C220,C220)=1,1,0)</f>
        <v>1</v>
      </c>
    </row>
    <row r="221" spans="1:11" s="65" customFormat="1" ht="15" customHeight="1" x14ac:dyDescent="0.25">
      <c r="A221" s="61">
        <v>46303</v>
      </c>
      <c r="B221" s="62" t="s">
        <v>16</v>
      </c>
      <c r="C221" s="62" t="s">
        <v>893</v>
      </c>
      <c r="D221" s="62" t="s">
        <v>894</v>
      </c>
      <c r="E221" s="62" t="s">
        <v>855</v>
      </c>
      <c r="F221" s="62" t="s">
        <v>867</v>
      </c>
      <c r="G221" s="62" t="s">
        <v>895</v>
      </c>
      <c r="H221" s="62" t="s">
        <v>43</v>
      </c>
      <c r="I221" s="63">
        <v>1</v>
      </c>
      <c r="J221" s="62" t="s">
        <v>306</v>
      </c>
      <c r="K221" s="64">
        <f>IF(COUNTIFS($C$2:C221,C221)=1,1,0)</f>
        <v>1</v>
      </c>
    </row>
    <row r="222" spans="1:11" s="65" customFormat="1" ht="15" customHeight="1" x14ac:dyDescent="0.25">
      <c r="A222" s="61">
        <v>46303</v>
      </c>
      <c r="B222" s="62" t="s">
        <v>16</v>
      </c>
      <c r="C222" s="62" t="s">
        <v>896</v>
      </c>
      <c r="D222" s="62" t="s">
        <v>867</v>
      </c>
      <c r="E222" s="62" t="s">
        <v>855</v>
      </c>
      <c r="F222" s="62" t="s">
        <v>867</v>
      </c>
      <c r="G222" s="62" t="s">
        <v>889</v>
      </c>
      <c r="H222" s="62" t="s">
        <v>42</v>
      </c>
      <c r="I222" s="63">
        <v>2</v>
      </c>
      <c r="J222" s="62" t="s">
        <v>272</v>
      </c>
      <c r="K222" s="64">
        <f>IF(COUNTIFS($C$2:C222,C222)=1,1,0)</f>
        <v>1</v>
      </c>
    </row>
    <row r="223" spans="1:11" s="65" customFormat="1" ht="15" customHeight="1" x14ac:dyDescent="0.25">
      <c r="A223" s="61">
        <v>46304</v>
      </c>
      <c r="B223" s="62" t="s">
        <v>16</v>
      </c>
      <c r="C223" s="62" t="s">
        <v>897</v>
      </c>
      <c r="D223" s="62" t="s">
        <v>898</v>
      </c>
      <c r="E223" s="62" t="s">
        <v>855</v>
      </c>
      <c r="F223" s="62" t="s">
        <v>867</v>
      </c>
      <c r="G223" s="62" t="s">
        <v>899</v>
      </c>
      <c r="H223" s="62" t="s">
        <v>41</v>
      </c>
      <c r="I223" s="63">
        <v>5</v>
      </c>
      <c r="J223" s="62" t="s">
        <v>182</v>
      </c>
      <c r="K223" s="64">
        <f>IF(COUNTIFS($C$2:C223,C223)=1,1,0)</f>
        <v>1</v>
      </c>
    </row>
    <row r="224" spans="1:11" ht="15" customHeight="1" x14ac:dyDescent="0.25">
      <c r="A224" s="19">
        <v>46307</v>
      </c>
      <c r="B224" s="4" t="s">
        <v>15</v>
      </c>
      <c r="C224" s="4" t="s">
        <v>900</v>
      </c>
      <c r="D224" s="4" t="s">
        <v>901</v>
      </c>
      <c r="E224" s="4" t="s">
        <v>855</v>
      </c>
      <c r="F224" s="4" t="s">
        <v>902</v>
      </c>
      <c r="G224" s="4" t="s">
        <v>903</v>
      </c>
      <c r="H224" s="4" t="s">
        <v>41</v>
      </c>
      <c r="I224" s="8">
        <v>4</v>
      </c>
      <c r="J224" s="4" t="s">
        <v>904</v>
      </c>
      <c r="K224" s="17">
        <f>IF(COUNTIFS($C$2:C224,C224)=1,1,0)</f>
        <v>1</v>
      </c>
    </row>
    <row r="225" spans="1:11" ht="15" customHeight="1" x14ac:dyDescent="0.25">
      <c r="A225" s="19">
        <v>46308</v>
      </c>
      <c r="B225" s="4" t="s">
        <v>16</v>
      </c>
      <c r="C225" s="4" t="s">
        <v>905</v>
      </c>
      <c r="D225" s="4" t="s">
        <v>906</v>
      </c>
      <c r="E225" s="4" t="s">
        <v>56</v>
      </c>
      <c r="F225" s="4" t="s">
        <v>906</v>
      </c>
      <c r="G225" s="4" t="s">
        <v>907</v>
      </c>
      <c r="H225" s="4" t="s">
        <v>42</v>
      </c>
      <c r="I225" s="8">
        <v>4</v>
      </c>
      <c r="J225" s="18" t="s">
        <v>59</v>
      </c>
      <c r="K225" s="17">
        <f>IF(COUNTIFS($C$2:C225,C225)=1,1,0)</f>
        <v>1</v>
      </c>
    </row>
    <row r="226" spans="1:11" ht="15" customHeight="1" x14ac:dyDescent="0.25">
      <c r="A226" s="19">
        <v>46308</v>
      </c>
      <c r="B226" s="4" t="s">
        <v>16</v>
      </c>
      <c r="C226" s="4" t="s">
        <v>908</v>
      </c>
      <c r="D226" s="4" t="s">
        <v>909</v>
      </c>
      <c r="E226" s="4" t="s">
        <v>56</v>
      </c>
      <c r="F226" s="4" t="s">
        <v>910</v>
      </c>
      <c r="G226" s="4" t="s">
        <v>911</v>
      </c>
      <c r="H226" s="4" t="s">
        <v>41</v>
      </c>
      <c r="I226" s="8">
        <v>2</v>
      </c>
      <c r="J226" s="18" t="s">
        <v>124</v>
      </c>
      <c r="K226" s="17">
        <f>IF(COUNTIFS($C$2:C226,C226)=1,1,0)</f>
        <v>1</v>
      </c>
    </row>
    <row r="227" spans="1:11" ht="15" customHeight="1" x14ac:dyDescent="0.25">
      <c r="A227" s="19">
        <v>46308</v>
      </c>
      <c r="B227" s="4" t="s">
        <v>15</v>
      </c>
      <c r="C227" s="4" t="s">
        <v>912</v>
      </c>
      <c r="D227" s="4" t="s">
        <v>913</v>
      </c>
      <c r="E227" s="4" t="s">
        <v>855</v>
      </c>
      <c r="F227" s="4" t="s">
        <v>914</v>
      </c>
      <c r="G227" s="4" t="s">
        <v>915</v>
      </c>
      <c r="H227" s="4" t="s">
        <v>41</v>
      </c>
      <c r="I227" s="8">
        <v>2</v>
      </c>
      <c r="J227" s="4" t="s">
        <v>267</v>
      </c>
      <c r="K227" s="17">
        <f>IF(COUNTIFS($C$2:C227,C227)=1,1,0)</f>
        <v>1</v>
      </c>
    </row>
    <row r="228" spans="1:11" ht="15" customHeight="1" x14ac:dyDescent="0.25">
      <c r="A228" s="19">
        <v>46308</v>
      </c>
      <c r="B228" s="4" t="s">
        <v>16</v>
      </c>
      <c r="C228" s="4" t="s">
        <v>916</v>
      </c>
      <c r="D228" s="4" t="s">
        <v>917</v>
      </c>
      <c r="E228" s="4" t="s">
        <v>359</v>
      </c>
      <c r="F228" s="4" t="s">
        <v>494</v>
      </c>
      <c r="G228" s="4" t="s">
        <v>918</v>
      </c>
      <c r="H228" s="4" t="s">
        <v>41</v>
      </c>
      <c r="I228" s="8">
        <v>2</v>
      </c>
      <c r="J228" s="4" t="s">
        <v>353</v>
      </c>
      <c r="K228" s="17">
        <f>IF(COUNTIFS($C$2:C228,C228)=1,1,0)</f>
        <v>1</v>
      </c>
    </row>
    <row r="229" spans="1:11" ht="15" customHeight="1" x14ac:dyDescent="0.25">
      <c r="A229" s="19">
        <v>46308</v>
      </c>
      <c r="B229" s="4" t="s">
        <v>16</v>
      </c>
      <c r="C229" s="4" t="s">
        <v>919</v>
      </c>
      <c r="D229" s="4" t="s">
        <v>920</v>
      </c>
      <c r="E229" s="4" t="s">
        <v>56</v>
      </c>
      <c r="F229" s="4" t="s">
        <v>921</v>
      </c>
      <c r="G229" s="4" t="s">
        <v>922</v>
      </c>
      <c r="H229" s="4" t="s">
        <v>41</v>
      </c>
      <c r="I229" s="8">
        <v>1</v>
      </c>
      <c r="J229" s="18" t="s">
        <v>521</v>
      </c>
      <c r="K229" s="17">
        <f>IF(COUNTIFS($C$2:C229,C229)=1,1,0)</f>
        <v>1</v>
      </c>
    </row>
    <row r="230" spans="1:11" ht="15" customHeight="1" x14ac:dyDescent="0.25">
      <c r="A230" s="19">
        <v>46309</v>
      </c>
      <c r="B230" s="4" t="s">
        <v>16</v>
      </c>
      <c r="C230" s="4" t="s">
        <v>923</v>
      </c>
      <c r="D230" s="4" t="s">
        <v>906</v>
      </c>
      <c r="E230" s="4" t="s">
        <v>56</v>
      </c>
      <c r="F230" s="4" t="s">
        <v>906</v>
      </c>
      <c r="G230" s="4" t="s">
        <v>924</v>
      </c>
      <c r="H230" s="4" t="s">
        <v>40</v>
      </c>
      <c r="I230" s="8">
        <v>6</v>
      </c>
      <c r="J230" s="18" t="s">
        <v>632</v>
      </c>
      <c r="K230" s="17">
        <f>IF(COUNTIFS($C$2:C230,C230)=1,1,0)</f>
        <v>1</v>
      </c>
    </row>
    <row r="231" spans="1:11" ht="15" customHeight="1" x14ac:dyDescent="0.25">
      <c r="A231" s="19">
        <v>46309</v>
      </c>
      <c r="B231" s="4" t="s">
        <v>15</v>
      </c>
      <c r="C231" s="4" t="s">
        <v>925</v>
      </c>
      <c r="D231" s="4" t="s">
        <v>926</v>
      </c>
      <c r="E231" s="4" t="s">
        <v>359</v>
      </c>
      <c r="F231" s="4" t="s">
        <v>494</v>
      </c>
      <c r="G231" s="4" t="s">
        <v>927</v>
      </c>
      <c r="H231" s="4" t="s">
        <v>41</v>
      </c>
      <c r="I231" s="8">
        <v>4</v>
      </c>
      <c r="J231" s="4" t="s">
        <v>391</v>
      </c>
      <c r="K231" s="17">
        <f>IF(COUNTIFS($C$2:C231,C231)=1,1,0)</f>
        <v>1</v>
      </c>
    </row>
    <row r="232" spans="1:11" ht="15" customHeight="1" x14ac:dyDescent="0.25">
      <c r="A232" s="19">
        <v>46309</v>
      </c>
      <c r="B232" s="4" t="s">
        <v>15</v>
      </c>
      <c r="C232" s="4" t="s">
        <v>928</v>
      </c>
      <c r="D232" s="4" t="s">
        <v>929</v>
      </c>
      <c r="E232" s="4" t="s">
        <v>359</v>
      </c>
      <c r="F232" s="4" t="s">
        <v>494</v>
      </c>
      <c r="G232" s="4" t="s">
        <v>930</v>
      </c>
      <c r="H232" s="4" t="s">
        <v>41</v>
      </c>
      <c r="I232" s="8">
        <v>4</v>
      </c>
      <c r="J232" s="4" t="s">
        <v>931</v>
      </c>
      <c r="K232" s="17">
        <f>IF(COUNTIFS($C$2:C232,C232)=1,1,0)</f>
        <v>1</v>
      </c>
    </row>
    <row r="233" spans="1:11" ht="15" customHeight="1" x14ac:dyDescent="0.25">
      <c r="A233" s="19">
        <v>46309</v>
      </c>
      <c r="B233" s="4" t="s">
        <v>16</v>
      </c>
      <c r="C233" s="4" t="s">
        <v>932</v>
      </c>
      <c r="D233" s="4" t="s">
        <v>933</v>
      </c>
      <c r="E233" s="4" t="s">
        <v>56</v>
      </c>
      <c r="F233" s="4" t="s">
        <v>57</v>
      </c>
      <c r="G233" s="4" t="s">
        <v>934</v>
      </c>
      <c r="H233" s="4" t="s">
        <v>43</v>
      </c>
      <c r="I233" s="8">
        <v>1</v>
      </c>
      <c r="J233" s="18" t="s">
        <v>112</v>
      </c>
      <c r="K233" s="17">
        <f>IF(COUNTIFS($C$2:C233,C233)=1,1,0)</f>
        <v>1</v>
      </c>
    </row>
    <row r="234" spans="1:11" ht="15" customHeight="1" x14ac:dyDescent="0.25">
      <c r="A234" s="19">
        <v>46310</v>
      </c>
      <c r="B234" s="4" t="s">
        <v>16</v>
      </c>
      <c r="C234" s="4" t="s">
        <v>935</v>
      </c>
      <c r="D234" s="4" t="s">
        <v>936</v>
      </c>
      <c r="E234" s="4" t="s">
        <v>56</v>
      </c>
      <c r="F234" s="4" t="s">
        <v>57</v>
      </c>
      <c r="G234" s="4" t="s">
        <v>937</v>
      </c>
      <c r="H234" s="4" t="s">
        <v>43</v>
      </c>
      <c r="I234" s="8">
        <v>5</v>
      </c>
      <c r="J234" s="18" t="s">
        <v>938</v>
      </c>
      <c r="K234" s="17">
        <f>IF(COUNTIFS($C$2:C234,C234)=1,1,0)</f>
        <v>1</v>
      </c>
    </row>
    <row r="235" spans="1:11" ht="15" customHeight="1" x14ac:dyDescent="0.25">
      <c r="A235" s="19">
        <v>46310</v>
      </c>
      <c r="B235" s="4" t="s">
        <v>16</v>
      </c>
      <c r="C235" s="4" t="s">
        <v>939</v>
      </c>
      <c r="D235" s="4" t="s">
        <v>940</v>
      </c>
      <c r="E235" s="4" t="s">
        <v>56</v>
      </c>
      <c r="F235" s="4" t="s">
        <v>57</v>
      </c>
      <c r="G235" s="4" t="s">
        <v>941</v>
      </c>
      <c r="H235" s="4" t="s">
        <v>43</v>
      </c>
      <c r="I235" s="8">
        <v>2</v>
      </c>
      <c r="J235" s="18" t="s">
        <v>124</v>
      </c>
      <c r="K235" s="17">
        <f>IF(COUNTIFS($C$2:C235,C235)=1,1,0)</f>
        <v>1</v>
      </c>
    </row>
    <row r="236" spans="1:11" ht="15" customHeight="1" x14ac:dyDescent="0.25">
      <c r="A236" s="19">
        <v>46314</v>
      </c>
      <c r="B236" s="4" t="s">
        <v>17</v>
      </c>
      <c r="C236" s="4" t="s">
        <v>942</v>
      </c>
      <c r="D236" s="4" t="s">
        <v>943</v>
      </c>
      <c r="E236" s="4" t="s">
        <v>693</v>
      </c>
      <c r="F236" s="4" t="s">
        <v>743</v>
      </c>
      <c r="G236" s="4" t="s">
        <v>944</v>
      </c>
      <c r="H236" s="4" t="s">
        <v>41</v>
      </c>
      <c r="I236" s="8">
        <v>3</v>
      </c>
      <c r="J236" s="4" t="s">
        <v>945</v>
      </c>
      <c r="K236" s="17">
        <f>IF(COUNTIFS($C$2:C236,C236)=1,1,0)</f>
        <v>1</v>
      </c>
    </row>
    <row r="237" spans="1:11" ht="15" customHeight="1" x14ac:dyDescent="0.25">
      <c r="A237" s="19">
        <v>46314</v>
      </c>
      <c r="B237" s="4" t="s">
        <v>17</v>
      </c>
      <c r="C237" s="4" t="s">
        <v>946</v>
      </c>
      <c r="D237" s="4" t="s">
        <v>947</v>
      </c>
      <c r="E237" s="4" t="s">
        <v>693</v>
      </c>
      <c r="F237" s="4" t="s">
        <v>743</v>
      </c>
      <c r="G237" s="4" t="s">
        <v>948</v>
      </c>
      <c r="H237" s="4" t="s">
        <v>41</v>
      </c>
      <c r="I237" s="8">
        <v>2</v>
      </c>
      <c r="J237" s="4" t="s">
        <v>949</v>
      </c>
      <c r="K237" s="17">
        <f>IF(COUNTIFS($C$2:C237,C237)=1,1,0)</f>
        <v>1</v>
      </c>
    </row>
    <row r="238" spans="1:11" ht="15" customHeight="1" x14ac:dyDescent="0.25">
      <c r="A238" s="19">
        <v>46315</v>
      </c>
      <c r="B238" s="4" t="s">
        <v>17</v>
      </c>
      <c r="C238" s="4" t="s">
        <v>950</v>
      </c>
      <c r="D238" s="4" t="s">
        <v>951</v>
      </c>
      <c r="E238" s="4" t="s">
        <v>693</v>
      </c>
      <c r="F238" s="4" t="s">
        <v>743</v>
      </c>
      <c r="G238" s="4" t="s">
        <v>952</v>
      </c>
      <c r="H238" s="4" t="s">
        <v>41</v>
      </c>
      <c r="I238" s="8">
        <v>6</v>
      </c>
      <c r="J238" s="4" t="s">
        <v>161</v>
      </c>
      <c r="K238" s="17">
        <f>IF(COUNTIFS($C$2:C238,C238)=1,1,0)</f>
        <v>1</v>
      </c>
    </row>
    <row r="239" spans="1:11" ht="15" customHeight="1" x14ac:dyDescent="0.25">
      <c r="A239" s="19">
        <v>46315</v>
      </c>
      <c r="B239" s="4" t="s">
        <v>16</v>
      </c>
      <c r="C239" s="4" t="s">
        <v>953</v>
      </c>
      <c r="D239" s="4" t="s">
        <v>954</v>
      </c>
      <c r="E239" s="4" t="s">
        <v>56</v>
      </c>
      <c r="F239" s="4" t="s">
        <v>57</v>
      </c>
      <c r="G239" s="4" t="s">
        <v>955</v>
      </c>
      <c r="H239" s="4" t="s">
        <v>41</v>
      </c>
      <c r="I239" s="8">
        <v>3</v>
      </c>
      <c r="J239" s="18" t="s">
        <v>124</v>
      </c>
      <c r="K239" s="17">
        <f>IF(COUNTIFS($C$2:C239,C239)=1,1,0)</f>
        <v>1</v>
      </c>
    </row>
    <row r="240" spans="1:11" ht="15" customHeight="1" x14ac:dyDescent="0.25">
      <c r="A240" s="19">
        <v>46315</v>
      </c>
      <c r="B240" s="4" t="s">
        <v>15</v>
      </c>
      <c r="C240" s="4" t="s">
        <v>956</v>
      </c>
      <c r="D240" s="4" t="s">
        <v>957</v>
      </c>
      <c r="E240" s="4" t="s">
        <v>56</v>
      </c>
      <c r="F240" s="4" t="s">
        <v>57</v>
      </c>
      <c r="G240" s="4" t="s">
        <v>958</v>
      </c>
      <c r="H240" s="4" t="s">
        <v>41</v>
      </c>
      <c r="I240" s="8">
        <v>3</v>
      </c>
      <c r="J240" s="18" t="s">
        <v>78</v>
      </c>
      <c r="K240" s="17">
        <f>IF(COUNTIFS($C$2:C240,C240)=1,1,0)</f>
        <v>1</v>
      </c>
    </row>
    <row r="241" spans="1:11" ht="15" customHeight="1" x14ac:dyDescent="0.25">
      <c r="A241" s="19">
        <v>46315</v>
      </c>
      <c r="B241" s="18" t="s">
        <v>15</v>
      </c>
      <c r="C241" s="4" t="s">
        <v>959</v>
      </c>
      <c r="D241" s="4" t="s">
        <v>960</v>
      </c>
      <c r="E241" s="4" t="s">
        <v>56</v>
      </c>
      <c r="F241" s="4" t="s">
        <v>57</v>
      </c>
      <c r="G241" s="4" t="s">
        <v>961</v>
      </c>
      <c r="H241" s="4" t="s">
        <v>41</v>
      </c>
      <c r="I241" s="8">
        <v>3</v>
      </c>
      <c r="J241" s="18" t="s">
        <v>124</v>
      </c>
      <c r="K241" s="17">
        <f>IF(COUNTIFS($C$2:C241,C241)=1,1,0)</f>
        <v>1</v>
      </c>
    </row>
    <row r="242" spans="1:11" ht="15" customHeight="1" x14ac:dyDescent="0.25">
      <c r="A242" s="19">
        <v>46315</v>
      </c>
      <c r="B242" s="4" t="s">
        <v>16</v>
      </c>
      <c r="C242" s="4" t="s">
        <v>962</v>
      </c>
      <c r="D242" s="4" t="s">
        <v>963</v>
      </c>
      <c r="E242" s="4" t="s">
        <v>56</v>
      </c>
      <c r="F242" s="4" t="s">
        <v>57</v>
      </c>
      <c r="G242" s="4" t="s">
        <v>964</v>
      </c>
      <c r="H242" s="4" t="s">
        <v>43</v>
      </c>
      <c r="I242" s="8">
        <v>3</v>
      </c>
      <c r="J242" s="18" t="s">
        <v>78</v>
      </c>
      <c r="K242" s="17">
        <f>IF(COUNTIFS($C$2:C242,C242)=1,1,0)</f>
        <v>1</v>
      </c>
    </row>
    <row r="243" spans="1:11" ht="15" customHeight="1" x14ac:dyDescent="0.25">
      <c r="A243" s="19">
        <v>46315</v>
      </c>
      <c r="B243" s="4" t="s">
        <v>16</v>
      </c>
      <c r="C243" s="4" t="s">
        <v>965</v>
      </c>
      <c r="D243" s="4" t="s">
        <v>966</v>
      </c>
      <c r="E243" s="4" t="s">
        <v>56</v>
      </c>
      <c r="F243" s="4" t="s">
        <v>57</v>
      </c>
      <c r="G243" s="4" t="s">
        <v>967</v>
      </c>
      <c r="H243" s="4" t="s">
        <v>41</v>
      </c>
      <c r="I243" s="8">
        <v>1</v>
      </c>
      <c r="J243" s="18" t="s">
        <v>812</v>
      </c>
      <c r="K243" s="17">
        <f>IF(COUNTIFS($C$2:C243,C243)=1,1,0)</f>
        <v>1</v>
      </c>
    </row>
    <row r="244" spans="1:11" ht="15" customHeight="1" x14ac:dyDescent="0.25">
      <c r="A244" s="19">
        <v>46316</v>
      </c>
      <c r="B244" s="18" t="s">
        <v>15</v>
      </c>
      <c r="C244" s="4" t="s">
        <v>968</v>
      </c>
      <c r="D244" s="4" t="s">
        <v>969</v>
      </c>
      <c r="E244" s="4" t="s">
        <v>56</v>
      </c>
      <c r="F244" s="4" t="s">
        <v>57</v>
      </c>
      <c r="G244" s="4" t="s">
        <v>970</v>
      </c>
      <c r="H244" s="4" t="s">
        <v>41</v>
      </c>
      <c r="I244" s="8">
        <v>6</v>
      </c>
      <c r="J244" s="18" t="s">
        <v>71</v>
      </c>
      <c r="K244" s="17">
        <f>IF(COUNTIFS($C$2:C244,C244)=1,1,0)</f>
        <v>1</v>
      </c>
    </row>
    <row r="245" spans="1:11" ht="15" customHeight="1" x14ac:dyDescent="0.25">
      <c r="A245" s="19">
        <v>46316</v>
      </c>
      <c r="B245" s="4" t="s">
        <v>17</v>
      </c>
      <c r="C245" s="4" t="s">
        <v>971</v>
      </c>
      <c r="D245" s="4" t="s">
        <v>972</v>
      </c>
      <c r="E245" s="4" t="s">
        <v>693</v>
      </c>
      <c r="F245" s="4" t="s">
        <v>743</v>
      </c>
      <c r="G245" s="4" t="s">
        <v>973</v>
      </c>
      <c r="H245" s="4" t="s">
        <v>41</v>
      </c>
      <c r="I245" s="8">
        <v>4</v>
      </c>
      <c r="J245" s="4" t="s">
        <v>209</v>
      </c>
      <c r="K245" s="17">
        <f>IF(COUNTIFS($C$2:C245,C245)=1,1,0)</f>
        <v>1</v>
      </c>
    </row>
    <row r="246" spans="1:11" ht="15" customHeight="1" x14ac:dyDescent="0.25">
      <c r="A246" s="19">
        <v>46316</v>
      </c>
      <c r="B246" s="4" t="s">
        <v>16</v>
      </c>
      <c r="C246" s="4" t="s">
        <v>974</v>
      </c>
      <c r="D246" s="4" t="s">
        <v>975</v>
      </c>
      <c r="E246" s="4" t="s">
        <v>56</v>
      </c>
      <c r="F246" s="4" t="s">
        <v>57</v>
      </c>
      <c r="G246" s="4" t="s">
        <v>976</v>
      </c>
      <c r="H246" s="4" t="s">
        <v>41</v>
      </c>
      <c r="I246" s="8">
        <v>3</v>
      </c>
      <c r="J246" s="18" t="s">
        <v>124</v>
      </c>
      <c r="K246" s="17">
        <f>IF(COUNTIFS($C$2:C246,C246)=1,1,0)</f>
        <v>1</v>
      </c>
    </row>
    <row r="247" spans="1:11" ht="15" customHeight="1" x14ac:dyDescent="0.25">
      <c r="A247" s="19">
        <v>46316</v>
      </c>
      <c r="B247" s="18" t="s">
        <v>16</v>
      </c>
      <c r="C247" s="4" t="s">
        <v>977</v>
      </c>
      <c r="D247" s="4" t="s">
        <v>978</v>
      </c>
      <c r="E247" s="4" t="s">
        <v>56</v>
      </c>
      <c r="F247" s="4" t="s">
        <v>57</v>
      </c>
      <c r="G247" s="4" t="s">
        <v>979</v>
      </c>
      <c r="H247" s="4" t="s">
        <v>41</v>
      </c>
      <c r="I247" s="8">
        <v>3</v>
      </c>
      <c r="J247" s="18" t="s">
        <v>59</v>
      </c>
      <c r="K247" s="17">
        <f>IF(COUNTIFS($C$2:C247,C247)=1,1,0)</f>
        <v>1</v>
      </c>
    </row>
    <row r="248" spans="1:11" ht="15" customHeight="1" x14ac:dyDescent="0.25">
      <c r="A248" s="19">
        <v>46316</v>
      </c>
      <c r="B248" s="4" t="s">
        <v>17</v>
      </c>
      <c r="C248" s="4" t="s">
        <v>980</v>
      </c>
      <c r="D248" s="4" t="s">
        <v>981</v>
      </c>
      <c r="E248" s="4" t="s">
        <v>693</v>
      </c>
      <c r="F248" s="4" t="s">
        <v>743</v>
      </c>
      <c r="G248" s="4" t="s">
        <v>982</v>
      </c>
      <c r="H248" s="4" t="s">
        <v>41</v>
      </c>
      <c r="I248" s="8">
        <v>3</v>
      </c>
      <c r="J248" s="4" t="s">
        <v>78</v>
      </c>
      <c r="K248" s="17">
        <f>IF(COUNTIFS($C$2:C248,C248)=1,1,0)</f>
        <v>1</v>
      </c>
    </row>
    <row r="249" spans="1:11" ht="15" customHeight="1" x14ac:dyDescent="0.25">
      <c r="A249" s="19">
        <v>46316</v>
      </c>
      <c r="B249" s="4" t="s">
        <v>16</v>
      </c>
      <c r="C249" s="4" t="s">
        <v>983</v>
      </c>
      <c r="D249" s="4" t="s">
        <v>984</v>
      </c>
      <c r="E249" s="4" t="s">
        <v>56</v>
      </c>
      <c r="F249" s="4" t="s">
        <v>57</v>
      </c>
      <c r="G249" s="4" t="s">
        <v>985</v>
      </c>
      <c r="H249" s="4" t="s">
        <v>41</v>
      </c>
      <c r="I249" s="8">
        <v>2</v>
      </c>
      <c r="J249" s="18" t="s">
        <v>521</v>
      </c>
      <c r="K249" s="17">
        <f>IF(COUNTIFS($C$2:C249,C249)=1,1,0)</f>
        <v>1</v>
      </c>
    </row>
    <row r="250" spans="1:11" ht="15" customHeight="1" x14ac:dyDescent="0.25">
      <c r="A250" s="19">
        <v>46317</v>
      </c>
      <c r="B250" s="4" t="s">
        <v>16</v>
      </c>
      <c r="C250" s="4" t="s">
        <v>986</v>
      </c>
      <c r="D250" s="4" t="s">
        <v>987</v>
      </c>
      <c r="E250" s="4" t="s">
        <v>56</v>
      </c>
      <c r="F250" s="4" t="s">
        <v>57</v>
      </c>
      <c r="G250" s="4" t="s">
        <v>988</v>
      </c>
      <c r="H250" s="4" t="s">
        <v>41</v>
      </c>
      <c r="I250" s="8">
        <v>3</v>
      </c>
      <c r="J250" s="18" t="s">
        <v>124</v>
      </c>
      <c r="K250" s="17">
        <f>IF(COUNTIFS($C$2:C250,C250)=1,1,0)</f>
        <v>1</v>
      </c>
    </row>
    <row r="251" spans="1:11" ht="15" customHeight="1" x14ac:dyDescent="0.25">
      <c r="A251" s="19">
        <v>46317</v>
      </c>
      <c r="B251" s="4" t="s">
        <v>16</v>
      </c>
      <c r="C251" s="4" t="s">
        <v>989</v>
      </c>
      <c r="D251" s="4" t="s">
        <v>990</v>
      </c>
      <c r="E251" s="4" t="s">
        <v>56</v>
      </c>
      <c r="F251" s="4" t="s">
        <v>57</v>
      </c>
      <c r="G251" s="4" t="s">
        <v>991</v>
      </c>
      <c r="H251" s="4" t="s">
        <v>41</v>
      </c>
      <c r="I251" s="8">
        <v>3</v>
      </c>
      <c r="J251" s="18" t="s">
        <v>78</v>
      </c>
      <c r="K251" s="17">
        <f>IF(COUNTIFS($C$2:C251,C251)=1,1,0)</f>
        <v>1</v>
      </c>
    </row>
    <row r="252" spans="1:11" ht="15" customHeight="1" x14ac:dyDescent="0.25">
      <c r="A252" s="19">
        <v>46317</v>
      </c>
      <c r="B252" s="18" t="s">
        <v>15</v>
      </c>
      <c r="C252" s="4" t="s">
        <v>992</v>
      </c>
      <c r="D252" s="4" t="s">
        <v>993</v>
      </c>
      <c r="E252" s="4" t="s">
        <v>56</v>
      </c>
      <c r="F252" s="4" t="s">
        <v>57</v>
      </c>
      <c r="G252" s="4" t="s">
        <v>994</v>
      </c>
      <c r="H252" s="4" t="s">
        <v>41</v>
      </c>
      <c r="I252" s="8">
        <v>7</v>
      </c>
      <c r="J252" s="18" t="s">
        <v>71</v>
      </c>
      <c r="K252" s="17">
        <f>IF(COUNTIFS($C$2:C252,C252)=1,1,0)</f>
        <v>1</v>
      </c>
    </row>
    <row r="253" spans="1:11" ht="15" customHeight="1" x14ac:dyDescent="0.25">
      <c r="A253" s="19">
        <v>46317</v>
      </c>
      <c r="B253" s="4" t="s">
        <v>17</v>
      </c>
      <c r="C253" s="4" t="s">
        <v>995</v>
      </c>
      <c r="D253" s="4" t="s">
        <v>996</v>
      </c>
      <c r="E253" s="4" t="s">
        <v>693</v>
      </c>
      <c r="F253" s="4" t="s">
        <v>743</v>
      </c>
      <c r="G253" s="4" t="s">
        <v>997</v>
      </c>
      <c r="H253" s="4" t="s">
        <v>41</v>
      </c>
      <c r="I253" s="8">
        <v>2</v>
      </c>
      <c r="J253" s="4" t="s">
        <v>808</v>
      </c>
      <c r="K253" s="17">
        <f>IF(COUNTIFS($C$2:C253,C253)=1,1,0)</f>
        <v>1</v>
      </c>
    </row>
    <row r="254" spans="1:11" ht="15" customHeight="1" x14ac:dyDescent="0.25">
      <c r="A254" s="19">
        <v>46318</v>
      </c>
      <c r="B254" s="4" t="s">
        <v>16</v>
      </c>
      <c r="C254" s="4" t="s">
        <v>998</v>
      </c>
      <c r="D254" s="4" t="s">
        <v>999</v>
      </c>
      <c r="E254" s="4" t="s">
        <v>56</v>
      </c>
      <c r="F254" s="4" t="s">
        <v>57</v>
      </c>
      <c r="G254" s="4" t="s">
        <v>1000</v>
      </c>
      <c r="H254" s="4" t="s">
        <v>41</v>
      </c>
      <c r="I254" s="8">
        <v>3</v>
      </c>
      <c r="J254" s="18" t="s">
        <v>124</v>
      </c>
      <c r="K254" s="17">
        <f>IF(COUNTIFS($C$2:C254,C254)=1,1,0)</f>
        <v>1</v>
      </c>
    </row>
  </sheetData>
  <autoFilter ref="A1:K254" xr:uid="{00000000-0001-0000-0100-000000000000}">
    <sortState xmlns:xlrd2="http://schemas.microsoft.com/office/spreadsheetml/2017/richdata2" ref="A2:K254">
      <sortCondition ref="A1:A254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="80" zoomScaleNormal="80" workbookViewId="0">
      <pane ySplit="1" topLeftCell="A2" activePane="bottomLeft" state="frozen"/>
      <selection pane="bottomLeft" activeCell="J24" sqref="J24"/>
    </sheetView>
  </sheetViews>
  <sheetFormatPr defaultColWidth="8.7109375" defaultRowHeight="15" x14ac:dyDescent="0.25"/>
  <cols>
    <col min="1" max="1" width="11" customWidth="1"/>
    <col min="2" max="2" width="16" customWidth="1"/>
    <col min="3" max="3" width="20" customWidth="1"/>
    <col min="4" max="4" width="14" customWidth="1"/>
    <col min="5" max="5" width="18" customWidth="1"/>
    <col min="6" max="6" width="40" customWidth="1"/>
    <col min="7" max="7" width="13" customWidth="1"/>
    <col min="8" max="8" width="8" customWidth="1"/>
    <col min="9" max="9" width="22" customWidth="1"/>
  </cols>
  <sheetData>
    <row r="1" spans="1:9" ht="23.25" customHeight="1" x14ac:dyDescent="0.25">
      <c r="A1" s="16" t="s">
        <v>45</v>
      </c>
      <c r="B1" s="16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39</v>
      </c>
      <c r="H1" s="16" t="s">
        <v>51</v>
      </c>
      <c r="I1" s="16" t="s">
        <v>52</v>
      </c>
    </row>
    <row r="2" spans="1:9" ht="15" customHeight="1" x14ac:dyDescent="0.25">
      <c r="A2" s="9">
        <v>46230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41</v>
      </c>
      <c r="H2" s="8">
        <v>3</v>
      </c>
      <c r="I2" s="4" t="s">
        <v>59</v>
      </c>
    </row>
    <row r="3" spans="1:9" ht="15" customHeight="1" x14ac:dyDescent="0.25">
      <c r="A3" s="9">
        <v>46230</v>
      </c>
      <c r="B3" s="4" t="s">
        <v>60</v>
      </c>
      <c r="C3" s="4" t="s">
        <v>61</v>
      </c>
      <c r="D3" s="4" t="s">
        <v>56</v>
      </c>
      <c r="E3" s="4" t="s">
        <v>57</v>
      </c>
      <c r="F3" s="4" t="s">
        <v>62</v>
      </c>
      <c r="G3" s="4" t="s">
        <v>41</v>
      </c>
      <c r="H3" s="8">
        <v>1</v>
      </c>
      <c r="I3" s="4" t="s">
        <v>63</v>
      </c>
    </row>
    <row r="4" spans="1:9" ht="15" customHeight="1" x14ac:dyDescent="0.25">
      <c r="A4" s="9">
        <v>46231</v>
      </c>
      <c r="B4" s="4" t="s">
        <v>64</v>
      </c>
      <c r="C4" s="4" t="s">
        <v>65</v>
      </c>
      <c r="D4" s="4" t="s">
        <v>56</v>
      </c>
      <c r="E4" s="4" t="s">
        <v>57</v>
      </c>
      <c r="F4" s="4" t="s">
        <v>66</v>
      </c>
      <c r="G4" s="4" t="s">
        <v>41</v>
      </c>
      <c r="H4" s="8">
        <v>42</v>
      </c>
      <c r="I4" s="4" t="s">
        <v>67</v>
      </c>
    </row>
    <row r="5" spans="1:9" ht="15" customHeight="1" x14ac:dyDescent="0.25">
      <c r="A5" s="9">
        <v>46232</v>
      </c>
      <c r="B5" s="4" t="s">
        <v>68</v>
      </c>
      <c r="C5" s="4" t="s">
        <v>69</v>
      </c>
      <c r="D5" s="4" t="s">
        <v>56</v>
      </c>
      <c r="E5" s="4" t="s">
        <v>57</v>
      </c>
      <c r="F5" s="4" t="s">
        <v>70</v>
      </c>
      <c r="G5" s="4" t="s">
        <v>41</v>
      </c>
      <c r="H5" s="8">
        <v>25</v>
      </c>
      <c r="I5" s="4" t="s">
        <v>71</v>
      </c>
    </row>
    <row r="6" spans="1:9" ht="15" customHeight="1" x14ac:dyDescent="0.25">
      <c r="A6" s="9">
        <v>46232</v>
      </c>
      <c r="B6" s="4" t="s">
        <v>72</v>
      </c>
      <c r="C6" s="4" t="s">
        <v>73</v>
      </c>
      <c r="D6" s="4" t="s">
        <v>56</v>
      </c>
      <c r="E6" s="4" t="s">
        <v>57</v>
      </c>
      <c r="F6" s="4" t="s">
        <v>74</v>
      </c>
      <c r="G6" s="4" t="s">
        <v>41</v>
      </c>
      <c r="H6" s="8">
        <v>4</v>
      </c>
      <c r="I6" s="4" t="s">
        <v>59</v>
      </c>
    </row>
    <row r="7" spans="1:9" ht="15" customHeight="1" x14ac:dyDescent="0.25">
      <c r="A7" s="9">
        <v>46233</v>
      </c>
      <c r="B7" s="4" t="s">
        <v>75</v>
      </c>
      <c r="C7" s="4" t="s">
        <v>76</v>
      </c>
      <c r="D7" s="4" t="s">
        <v>56</v>
      </c>
      <c r="E7" s="4" t="s">
        <v>57</v>
      </c>
      <c r="F7" s="4" t="s">
        <v>77</v>
      </c>
      <c r="G7" s="4" t="s">
        <v>41</v>
      </c>
      <c r="H7" s="8">
        <v>7</v>
      </c>
      <c r="I7" s="4" t="s">
        <v>78</v>
      </c>
    </row>
    <row r="8" spans="1:9" ht="15" customHeight="1" x14ac:dyDescent="0.25">
      <c r="A8" s="9">
        <v>46233</v>
      </c>
      <c r="B8" s="4" t="s">
        <v>79</v>
      </c>
      <c r="C8" s="4" t="s">
        <v>80</v>
      </c>
      <c r="D8" s="4" t="s">
        <v>56</v>
      </c>
      <c r="E8" s="4" t="s">
        <v>81</v>
      </c>
      <c r="F8" s="4" t="s">
        <v>82</v>
      </c>
      <c r="G8" s="4" t="s">
        <v>41</v>
      </c>
      <c r="H8" s="8">
        <v>6</v>
      </c>
      <c r="I8" s="4" t="s">
        <v>83</v>
      </c>
    </row>
    <row r="9" spans="1:9" ht="15" customHeight="1" x14ac:dyDescent="0.25">
      <c r="A9" s="9">
        <v>46233</v>
      </c>
      <c r="B9" s="18" t="s">
        <v>84</v>
      </c>
      <c r="C9" s="4" t="s">
        <v>85</v>
      </c>
      <c r="D9" s="4" t="s">
        <v>56</v>
      </c>
      <c r="E9" s="4" t="s">
        <v>57</v>
      </c>
      <c r="F9" s="4" t="s">
        <v>86</v>
      </c>
      <c r="G9" s="4" t="s">
        <v>43</v>
      </c>
      <c r="H9" s="8">
        <v>2</v>
      </c>
      <c r="I9" s="4" t="s">
        <v>87</v>
      </c>
    </row>
  </sheetData>
  <autoFilter ref="A1:I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5"/>
  <sheetViews>
    <sheetView zoomScaleNormal="100" workbookViewId="0">
      <pane ySplit="1" topLeftCell="A72" activePane="bottomLeft" state="frozen"/>
      <selection activeCell="E1" sqref="E1"/>
      <selection pane="bottomLeft" activeCell="F104" sqref="F104"/>
    </sheetView>
  </sheetViews>
  <sheetFormatPr defaultColWidth="8.7109375" defaultRowHeight="15" x14ac:dyDescent="0.25"/>
  <cols>
    <col min="1" max="1" width="11" customWidth="1"/>
    <col min="2" max="2" width="16" customWidth="1"/>
    <col min="3" max="3" width="20" customWidth="1"/>
    <col min="4" max="4" width="14" customWidth="1"/>
    <col min="5" max="5" width="18" customWidth="1"/>
    <col min="6" max="6" width="40" customWidth="1"/>
    <col min="7" max="7" width="13" customWidth="1"/>
    <col min="8" max="8" width="8" customWidth="1"/>
    <col min="9" max="9" width="22" customWidth="1"/>
  </cols>
  <sheetData>
    <row r="1" spans="1:9" ht="23.25" customHeight="1" x14ac:dyDescent="0.25">
      <c r="A1" s="16" t="s">
        <v>45</v>
      </c>
      <c r="B1" s="16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39</v>
      </c>
      <c r="H1" s="16" t="s">
        <v>51</v>
      </c>
      <c r="I1" s="16" t="s">
        <v>52</v>
      </c>
    </row>
    <row r="2" spans="1:9" ht="15" customHeight="1" x14ac:dyDescent="0.25">
      <c r="A2" s="29">
        <v>46251</v>
      </c>
      <c r="B2" s="4" t="s">
        <v>130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41</v>
      </c>
      <c r="H2" s="8">
        <v>6</v>
      </c>
      <c r="I2" s="4" t="s">
        <v>135</v>
      </c>
    </row>
    <row r="3" spans="1:9" ht="15" customHeight="1" x14ac:dyDescent="0.25">
      <c r="A3" s="29">
        <v>46252</v>
      </c>
      <c r="B3" s="4" t="s">
        <v>154</v>
      </c>
      <c r="C3" s="4" t="s">
        <v>155</v>
      </c>
      <c r="D3" s="4" t="s">
        <v>132</v>
      </c>
      <c r="E3" s="4" t="s">
        <v>133</v>
      </c>
      <c r="F3" s="4" t="s">
        <v>156</v>
      </c>
      <c r="G3" s="4" t="s">
        <v>41</v>
      </c>
      <c r="H3" s="8">
        <v>6</v>
      </c>
      <c r="I3" s="4" t="s">
        <v>157</v>
      </c>
    </row>
    <row r="4" spans="1:9" ht="15" customHeight="1" x14ac:dyDescent="0.25">
      <c r="A4" s="29">
        <v>46252</v>
      </c>
      <c r="B4" s="4" t="s">
        <v>166</v>
      </c>
      <c r="C4" s="4" t="s">
        <v>167</v>
      </c>
      <c r="D4" s="4" t="s">
        <v>132</v>
      </c>
      <c r="E4" s="4" t="s">
        <v>133</v>
      </c>
      <c r="F4" s="4" t="s">
        <v>168</v>
      </c>
      <c r="G4" s="4" t="s">
        <v>43</v>
      </c>
      <c r="H4" s="8">
        <v>2</v>
      </c>
      <c r="I4" s="4" t="s">
        <v>169</v>
      </c>
    </row>
    <row r="5" spans="1:9" ht="15" customHeight="1" x14ac:dyDescent="0.25">
      <c r="A5" s="29">
        <v>46252</v>
      </c>
      <c r="B5" s="4" t="s">
        <v>170</v>
      </c>
      <c r="C5" s="4" t="s">
        <v>133</v>
      </c>
      <c r="D5" s="4" t="s">
        <v>132</v>
      </c>
      <c r="E5" s="4" t="s">
        <v>133</v>
      </c>
      <c r="F5" s="4" t="s">
        <v>171</v>
      </c>
      <c r="G5" s="4" t="s">
        <v>42</v>
      </c>
      <c r="H5" s="8">
        <v>2</v>
      </c>
      <c r="I5" s="4" t="s">
        <v>172</v>
      </c>
    </row>
    <row r="6" spans="1:9" ht="15" customHeight="1" x14ac:dyDescent="0.25">
      <c r="A6" s="29">
        <v>46253</v>
      </c>
      <c r="B6" s="4" t="s">
        <v>183</v>
      </c>
      <c r="C6" s="4" t="s">
        <v>184</v>
      </c>
      <c r="D6" s="4" t="s">
        <v>132</v>
      </c>
      <c r="E6" s="4" t="s">
        <v>185</v>
      </c>
      <c r="F6" s="4" t="s">
        <v>186</v>
      </c>
      <c r="G6" s="4" t="s">
        <v>41</v>
      </c>
      <c r="H6" s="8">
        <v>6</v>
      </c>
      <c r="I6" s="4" t="s">
        <v>176</v>
      </c>
    </row>
    <row r="7" spans="1:9" ht="15" customHeight="1" x14ac:dyDescent="0.25">
      <c r="A7" s="29">
        <v>46253</v>
      </c>
      <c r="B7" s="4" t="s">
        <v>190</v>
      </c>
      <c r="C7" s="4" t="s">
        <v>191</v>
      </c>
      <c r="D7" s="4" t="s">
        <v>132</v>
      </c>
      <c r="E7" s="4" t="s">
        <v>192</v>
      </c>
      <c r="F7" s="4" t="s">
        <v>193</v>
      </c>
      <c r="G7" s="4" t="s">
        <v>41</v>
      </c>
      <c r="H7" s="8">
        <v>1</v>
      </c>
      <c r="I7" s="4" t="s">
        <v>194</v>
      </c>
    </row>
    <row r="8" spans="1:9" ht="15" customHeight="1" x14ac:dyDescent="0.25">
      <c r="A8" s="29">
        <v>46253</v>
      </c>
      <c r="B8" s="4" t="s">
        <v>195</v>
      </c>
      <c r="C8" s="4" t="s">
        <v>196</v>
      </c>
      <c r="D8" s="4" t="s">
        <v>132</v>
      </c>
      <c r="E8" s="4" t="s">
        <v>192</v>
      </c>
      <c r="F8" s="4" t="s">
        <v>197</v>
      </c>
      <c r="G8" s="4" t="s">
        <v>43</v>
      </c>
      <c r="H8" s="8">
        <v>1</v>
      </c>
      <c r="I8" s="4" t="s">
        <v>96</v>
      </c>
    </row>
    <row r="9" spans="1:9" ht="15" customHeight="1" x14ac:dyDescent="0.25">
      <c r="A9" s="29">
        <v>46254</v>
      </c>
      <c r="B9" s="4" t="s">
        <v>198</v>
      </c>
      <c r="C9" s="4" t="s">
        <v>199</v>
      </c>
      <c r="D9" s="4" t="s">
        <v>132</v>
      </c>
      <c r="E9" s="4" t="s">
        <v>200</v>
      </c>
      <c r="F9" s="4" t="s">
        <v>201</v>
      </c>
      <c r="G9" s="4" t="s">
        <v>41</v>
      </c>
      <c r="H9" s="8">
        <v>6</v>
      </c>
      <c r="I9" s="4" t="s">
        <v>202</v>
      </c>
    </row>
    <row r="10" spans="1:9" ht="15" customHeight="1" x14ac:dyDescent="0.25">
      <c r="A10" s="29">
        <v>46254</v>
      </c>
      <c r="B10" s="4" t="s">
        <v>210</v>
      </c>
      <c r="C10" s="4" t="s">
        <v>211</v>
      </c>
      <c r="D10" s="4" t="s">
        <v>132</v>
      </c>
      <c r="E10" s="4" t="s">
        <v>200</v>
      </c>
      <c r="F10" s="4" t="s">
        <v>212</v>
      </c>
      <c r="G10" s="4" t="s">
        <v>41</v>
      </c>
      <c r="H10" s="8">
        <v>3</v>
      </c>
      <c r="I10" s="4" t="s">
        <v>108</v>
      </c>
    </row>
    <row r="11" spans="1:9" ht="15" customHeight="1" x14ac:dyDescent="0.25">
      <c r="A11" s="29">
        <v>46255</v>
      </c>
      <c r="B11" s="4" t="s">
        <v>220</v>
      </c>
      <c r="C11" s="4" t="s">
        <v>221</v>
      </c>
      <c r="D11" s="4" t="s">
        <v>132</v>
      </c>
      <c r="E11" s="4" t="s">
        <v>185</v>
      </c>
      <c r="F11" s="4" t="s">
        <v>222</v>
      </c>
      <c r="G11" s="4" t="s">
        <v>43</v>
      </c>
      <c r="H11" s="8">
        <v>1</v>
      </c>
      <c r="I11" s="4" t="s">
        <v>223</v>
      </c>
    </row>
    <row r="12" spans="1:9" ht="15" customHeight="1" x14ac:dyDescent="0.25">
      <c r="A12" s="29">
        <v>46255</v>
      </c>
      <c r="B12" s="4" t="s">
        <v>224</v>
      </c>
      <c r="C12" s="4" t="s">
        <v>225</v>
      </c>
      <c r="D12" s="4" t="s">
        <v>132</v>
      </c>
      <c r="E12" s="4" t="s">
        <v>185</v>
      </c>
      <c r="F12" s="4" t="s">
        <v>226</v>
      </c>
      <c r="G12" s="4" t="s">
        <v>43</v>
      </c>
      <c r="H12" s="8">
        <v>1</v>
      </c>
      <c r="I12" s="4" t="s">
        <v>227</v>
      </c>
    </row>
    <row r="13" spans="1:9" ht="15" customHeight="1" x14ac:dyDescent="0.25">
      <c r="A13" s="29">
        <v>46258</v>
      </c>
      <c r="B13" s="4" t="s">
        <v>228</v>
      </c>
      <c r="C13" s="4" t="s">
        <v>229</v>
      </c>
      <c r="D13" s="4" t="s">
        <v>132</v>
      </c>
      <c r="E13" s="4" t="s">
        <v>230</v>
      </c>
      <c r="F13" s="4" t="s">
        <v>231</v>
      </c>
      <c r="G13" s="4" t="s">
        <v>41</v>
      </c>
      <c r="H13" s="8">
        <v>5</v>
      </c>
      <c r="I13" s="4" t="s">
        <v>232</v>
      </c>
    </row>
    <row r="14" spans="1:9" ht="15" customHeight="1" x14ac:dyDescent="0.25">
      <c r="A14" s="29">
        <v>46258</v>
      </c>
      <c r="B14" s="4" t="s">
        <v>237</v>
      </c>
      <c r="C14" s="4" t="s">
        <v>238</v>
      </c>
      <c r="D14" s="4" t="s">
        <v>132</v>
      </c>
      <c r="E14" s="4" t="s">
        <v>200</v>
      </c>
      <c r="F14" s="4" t="s">
        <v>239</v>
      </c>
      <c r="G14" s="4" t="s">
        <v>43</v>
      </c>
      <c r="H14" s="8">
        <v>3</v>
      </c>
      <c r="I14" s="4" t="s">
        <v>240</v>
      </c>
    </row>
    <row r="15" spans="1:9" ht="15" customHeight="1" x14ac:dyDescent="0.25">
      <c r="A15" s="29">
        <v>46258</v>
      </c>
      <c r="B15" s="4" t="s">
        <v>241</v>
      </c>
      <c r="C15" s="4" t="s">
        <v>242</v>
      </c>
      <c r="D15" s="4" t="s">
        <v>132</v>
      </c>
      <c r="E15" s="4" t="s">
        <v>230</v>
      </c>
      <c r="F15" s="4" t="s">
        <v>243</v>
      </c>
      <c r="G15" s="4" t="s">
        <v>41</v>
      </c>
      <c r="H15" s="8">
        <v>1</v>
      </c>
      <c r="I15" s="4" t="s">
        <v>244</v>
      </c>
    </row>
    <row r="16" spans="1:9" ht="15" customHeight="1" x14ac:dyDescent="0.25">
      <c r="A16" s="29">
        <v>46259</v>
      </c>
      <c r="B16" s="4" t="s">
        <v>250</v>
      </c>
      <c r="C16" s="4" t="s">
        <v>251</v>
      </c>
      <c r="D16" s="4" t="s">
        <v>252</v>
      </c>
      <c r="E16" s="4" t="s">
        <v>253</v>
      </c>
      <c r="F16" s="4" t="s">
        <v>254</v>
      </c>
      <c r="G16" s="4" t="s">
        <v>41</v>
      </c>
      <c r="H16" s="8">
        <v>6</v>
      </c>
      <c r="I16" s="4" t="s">
        <v>135</v>
      </c>
    </row>
    <row r="17" spans="1:9" ht="15" customHeight="1" x14ac:dyDescent="0.25">
      <c r="A17" s="29">
        <v>46259</v>
      </c>
      <c r="B17" s="4" t="s">
        <v>276</v>
      </c>
      <c r="C17" s="4" t="s">
        <v>277</v>
      </c>
      <c r="D17" s="4" t="s">
        <v>252</v>
      </c>
      <c r="E17" s="4" t="s">
        <v>253</v>
      </c>
      <c r="F17" s="4" t="s">
        <v>278</v>
      </c>
      <c r="G17" s="4" t="s">
        <v>43</v>
      </c>
      <c r="H17" s="8">
        <v>1</v>
      </c>
      <c r="I17" s="4" t="s">
        <v>279</v>
      </c>
    </row>
    <row r="18" spans="1:9" ht="15" customHeight="1" x14ac:dyDescent="0.25">
      <c r="A18" s="29">
        <v>46259</v>
      </c>
      <c r="B18" s="4" t="s">
        <v>280</v>
      </c>
      <c r="C18" s="4" t="s">
        <v>281</v>
      </c>
      <c r="D18" s="4" t="s">
        <v>132</v>
      </c>
      <c r="E18" s="4" t="s">
        <v>230</v>
      </c>
      <c r="F18" s="4" t="s">
        <v>282</v>
      </c>
      <c r="G18" s="4" t="s">
        <v>43</v>
      </c>
      <c r="H18" s="8">
        <v>1</v>
      </c>
      <c r="I18" s="4" t="s">
        <v>101</v>
      </c>
    </row>
    <row r="19" spans="1:9" ht="15" customHeight="1" x14ac:dyDescent="0.25">
      <c r="A19" s="29">
        <v>46260</v>
      </c>
      <c r="B19" s="4" t="s">
        <v>284</v>
      </c>
      <c r="C19" s="4" t="s">
        <v>285</v>
      </c>
      <c r="D19" s="4" t="s">
        <v>252</v>
      </c>
      <c r="E19" s="4" t="s">
        <v>286</v>
      </c>
      <c r="F19" s="4" t="s">
        <v>287</v>
      </c>
      <c r="G19" s="4" t="s">
        <v>41</v>
      </c>
      <c r="H19" s="8">
        <v>5</v>
      </c>
      <c r="I19" s="4" t="s">
        <v>288</v>
      </c>
    </row>
    <row r="20" spans="1:9" ht="15" customHeight="1" x14ac:dyDescent="0.25">
      <c r="A20" s="29">
        <v>46260</v>
      </c>
      <c r="B20" s="4" t="s">
        <v>294</v>
      </c>
      <c r="C20" s="4" t="s">
        <v>295</v>
      </c>
      <c r="D20" s="4" t="s">
        <v>252</v>
      </c>
      <c r="E20" s="4" t="s">
        <v>286</v>
      </c>
      <c r="F20" s="4" t="s">
        <v>296</v>
      </c>
      <c r="G20" s="4" t="s">
        <v>41</v>
      </c>
      <c r="H20" s="8">
        <v>2</v>
      </c>
      <c r="I20" s="4" t="s">
        <v>297</v>
      </c>
    </row>
    <row r="21" spans="1:9" ht="15" customHeight="1" x14ac:dyDescent="0.25">
      <c r="A21" s="29">
        <v>46260</v>
      </c>
      <c r="B21" s="4" t="s">
        <v>311</v>
      </c>
      <c r="C21" s="4" t="s">
        <v>312</v>
      </c>
      <c r="D21" s="4" t="s">
        <v>252</v>
      </c>
      <c r="E21" s="4" t="s">
        <v>286</v>
      </c>
      <c r="F21" s="4" t="s">
        <v>296</v>
      </c>
      <c r="G21" s="4" t="s">
        <v>43</v>
      </c>
      <c r="H21" s="8">
        <v>1</v>
      </c>
      <c r="I21" s="4" t="s">
        <v>306</v>
      </c>
    </row>
    <row r="22" spans="1:9" ht="15" customHeight="1" x14ac:dyDescent="0.25">
      <c r="A22" s="29">
        <v>46261</v>
      </c>
      <c r="B22" s="4" t="s">
        <v>326</v>
      </c>
      <c r="C22" s="4" t="s">
        <v>327</v>
      </c>
      <c r="D22" s="4" t="s">
        <v>252</v>
      </c>
      <c r="E22" s="4" t="s">
        <v>328</v>
      </c>
      <c r="F22" s="4" t="s">
        <v>329</v>
      </c>
      <c r="G22" s="4" t="s">
        <v>41</v>
      </c>
      <c r="H22" s="8">
        <v>3</v>
      </c>
      <c r="I22" s="4" t="s">
        <v>240</v>
      </c>
    </row>
    <row r="23" spans="1:9" ht="15" customHeight="1" x14ac:dyDescent="0.25">
      <c r="A23" s="29">
        <v>46261</v>
      </c>
      <c r="B23" s="4" t="s">
        <v>336</v>
      </c>
      <c r="C23" s="4" t="s">
        <v>337</v>
      </c>
      <c r="D23" s="4" t="s">
        <v>252</v>
      </c>
      <c r="E23" s="4" t="s">
        <v>328</v>
      </c>
      <c r="F23" s="4" t="s">
        <v>338</v>
      </c>
      <c r="G23" s="4" t="s">
        <v>43</v>
      </c>
      <c r="H23" s="8">
        <v>1</v>
      </c>
      <c r="I23" s="4" t="s">
        <v>96</v>
      </c>
    </row>
    <row r="24" spans="1:9" ht="15" customHeight="1" x14ac:dyDescent="0.25">
      <c r="A24" s="29">
        <v>46262</v>
      </c>
      <c r="B24" s="4" t="s">
        <v>339</v>
      </c>
      <c r="C24" s="4" t="s">
        <v>340</v>
      </c>
      <c r="D24" s="4" t="s">
        <v>341</v>
      </c>
      <c r="E24" s="4" t="s">
        <v>342</v>
      </c>
      <c r="F24" s="4" t="s">
        <v>343</v>
      </c>
      <c r="G24" s="4" t="s">
        <v>41</v>
      </c>
      <c r="H24" s="8">
        <v>4</v>
      </c>
      <c r="I24" s="4" t="s">
        <v>344</v>
      </c>
    </row>
    <row r="25" spans="1:9" ht="15" customHeight="1" x14ac:dyDescent="0.25">
      <c r="A25" s="29">
        <v>46262</v>
      </c>
      <c r="B25" s="4" t="s">
        <v>349</v>
      </c>
      <c r="C25" s="4" t="s">
        <v>350</v>
      </c>
      <c r="D25" s="4" t="s">
        <v>341</v>
      </c>
      <c r="E25" s="4" t="s">
        <v>351</v>
      </c>
      <c r="F25" s="4" t="s">
        <v>352</v>
      </c>
      <c r="G25" s="4" t="s">
        <v>41</v>
      </c>
      <c r="H25" s="8">
        <v>2</v>
      </c>
      <c r="I25" s="4" t="s">
        <v>353</v>
      </c>
    </row>
    <row r="26" spans="1:9" ht="15" customHeight="1" x14ac:dyDescent="0.25">
      <c r="A26" s="29">
        <v>46265</v>
      </c>
      <c r="B26" s="4" t="s">
        <v>357</v>
      </c>
      <c r="C26" s="4" t="s">
        <v>358</v>
      </c>
      <c r="D26" s="4" t="s">
        <v>359</v>
      </c>
      <c r="E26" s="4" t="s">
        <v>360</v>
      </c>
      <c r="F26" s="4" t="s">
        <v>361</v>
      </c>
      <c r="G26" s="4" t="s">
        <v>41</v>
      </c>
      <c r="H26" s="8">
        <v>5</v>
      </c>
      <c r="I26" s="4" t="s">
        <v>362</v>
      </c>
    </row>
    <row r="27" spans="1:9" ht="15" customHeight="1" x14ac:dyDescent="0.25">
      <c r="A27" s="29">
        <v>46265</v>
      </c>
      <c r="B27" s="4" t="s">
        <v>363</v>
      </c>
      <c r="C27" s="4" t="s">
        <v>364</v>
      </c>
      <c r="D27" s="4" t="s">
        <v>359</v>
      </c>
      <c r="E27" s="4" t="s">
        <v>365</v>
      </c>
      <c r="F27" s="4" t="s">
        <v>366</v>
      </c>
      <c r="G27" s="4" t="s">
        <v>41</v>
      </c>
      <c r="H27" s="8">
        <v>2</v>
      </c>
      <c r="I27" s="4" t="s">
        <v>367</v>
      </c>
    </row>
    <row r="28" spans="1:9" ht="15" customHeight="1" x14ac:dyDescent="0.25">
      <c r="A28" s="29">
        <v>46265</v>
      </c>
      <c r="B28" s="4" t="s">
        <v>368</v>
      </c>
      <c r="C28" s="4" t="s">
        <v>369</v>
      </c>
      <c r="D28" s="4" t="s">
        <v>359</v>
      </c>
      <c r="E28" s="4" t="s">
        <v>360</v>
      </c>
      <c r="F28" s="4" t="s">
        <v>370</v>
      </c>
      <c r="G28" s="4" t="s">
        <v>43</v>
      </c>
      <c r="H28" s="8">
        <v>2</v>
      </c>
      <c r="I28" s="4" t="s">
        <v>371</v>
      </c>
    </row>
    <row r="29" spans="1:9" ht="15" customHeight="1" x14ac:dyDescent="0.25">
      <c r="A29" s="29">
        <v>46266</v>
      </c>
      <c r="B29" s="4" t="s">
        <v>379</v>
      </c>
      <c r="C29" s="4" t="s">
        <v>380</v>
      </c>
      <c r="D29" s="4" t="s">
        <v>359</v>
      </c>
      <c r="E29" s="4" t="s">
        <v>380</v>
      </c>
      <c r="F29" s="4" t="s">
        <v>381</v>
      </c>
      <c r="G29" s="4" t="s">
        <v>40</v>
      </c>
      <c r="H29" s="8">
        <v>9</v>
      </c>
      <c r="I29" s="4" t="s">
        <v>382</v>
      </c>
    </row>
    <row r="30" spans="1:9" ht="15" customHeight="1" x14ac:dyDescent="0.25">
      <c r="A30" s="29">
        <v>46266</v>
      </c>
      <c r="B30" s="4" t="s">
        <v>388</v>
      </c>
      <c r="C30" s="4" t="s">
        <v>389</v>
      </c>
      <c r="D30" s="4" t="s">
        <v>359</v>
      </c>
      <c r="E30" s="4" t="s">
        <v>360</v>
      </c>
      <c r="F30" s="4" t="s">
        <v>390</v>
      </c>
      <c r="G30" s="4" t="s">
        <v>41</v>
      </c>
      <c r="H30" s="8">
        <v>4</v>
      </c>
      <c r="I30" s="4" t="s">
        <v>391</v>
      </c>
    </row>
    <row r="31" spans="1:9" ht="15" customHeight="1" x14ac:dyDescent="0.25">
      <c r="A31" s="29">
        <v>46267</v>
      </c>
      <c r="B31" s="4" t="s">
        <v>379</v>
      </c>
      <c r="C31" s="4" t="s">
        <v>380</v>
      </c>
      <c r="D31" s="4" t="s">
        <v>359</v>
      </c>
      <c r="E31" s="4" t="s">
        <v>380</v>
      </c>
      <c r="F31" s="4" t="s">
        <v>381</v>
      </c>
      <c r="G31" s="4" t="s">
        <v>40</v>
      </c>
      <c r="H31" s="8">
        <v>8</v>
      </c>
      <c r="I31" s="4" t="s">
        <v>407</v>
      </c>
    </row>
    <row r="32" spans="1:9" ht="15" customHeight="1" x14ac:dyDescent="0.25">
      <c r="A32" s="29">
        <v>46267</v>
      </c>
      <c r="B32" s="4" t="s">
        <v>411</v>
      </c>
      <c r="C32" s="4" t="s">
        <v>412</v>
      </c>
      <c r="D32" s="4" t="s">
        <v>359</v>
      </c>
      <c r="E32" s="4" t="s">
        <v>413</v>
      </c>
      <c r="F32" s="4" t="s">
        <v>414</v>
      </c>
      <c r="G32" s="4" t="s">
        <v>41</v>
      </c>
      <c r="H32" s="8">
        <v>4</v>
      </c>
      <c r="I32" s="4" t="s">
        <v>415</v>
      </c>
    </row>
    <row r="33" spans="1:9" ht="15" customHeight="1" x14ac:dyDescent="0.25">
      <c r="A33" s="29">
        <v>46268</v>
      </c>
      <c r="B33" s="4" t="s">
        <v>435</v>
      </c>
      <c r="C33" s="4" t="s">
        <v>436</v>
      </c>
      <c r="D33" s="4" t="s">
        <v>359</v>
      </c>
      <c r="E33" s="4" t="s">
        <v>437</v>
      </c>
      <c r="F33" s="4" t="s">
        <v>438</v>
      </c>
      <c r="G33" s="4" t="s">
        <v>40</v>
      </c>
      <c r="H33" s="8">
        <v>5</v>
      </c>
      <c r="I33" s="4" t="s">
        <v>362</v>
      </c>
    </row>
    <row r="34" spans="1:9" ht="15" customHeight="1" x14ac:dyDescent="0.25">
      <c r="A34" s="29">
        <v>46268</v>
      </c>
      <c r="B34" s="4" t="s">
        <v>442</v>
      </c>
      <c r="C34" s="4" t="s">
        <v>443</v>
      </c>
      <c r="D34" s="4" t="s">
        <v>359</v>
      </c>
      <c r="E34" s="4" t="s">
        <v>413</v>
      </c>
      <c r="F34" s="4" t="s">
        <v>444</v>
      </c>
      <c r="G34" s="4" t="s">
        <v>43</v>
      </c>
      <c r="H34" s="8">
        <v>2</v>
      </c>
      <c r="I34" s="4" t="s">
        <v>445</v>
      </c>
    </row>
    <row r="35" spans="1:9" ht="15" customHeight="1" x14ac:dyDescent="0.25">
      <c r="A35" s="29">
        <v>46268</v>
      </c>
      <c r="B35" s="4" t="s">
        <v>446</v>
      </c>
      <c r="C35" s="4" t="s">
        <v>447</v>
      </c>
      <c r="D35" s="4" t="s">
        <v>359</v>
      </c>
      <c r="E35" s="4" t="s">
        <v>413</v>
      </c>
      <c r="F35" s="4" t="s">
        <v>448</v>
      </c>
      <c r="G35" s="4" t="s">
        <v>41</v>
      </c>
      <c r="H35" s="8">
        <v>1</v>
      </c>
      <c r="I35" s="4" t="s">
        <v>310</v>
      </c>
    </row>
    <row r="36" spans="1:9" ht="15" customHeight="1" x14ac:dyDescent="0.25">
      <c r="A36" s="29">
        <v>46272</v>
      </c>
      <c r="B36" s="4" t="s">
        <v>452</v>
      </c>
      <c r="C36" s="4" t="s">
        <v>453</v>
      </c>
      <c r="D36" s="4" t="s">
        <v>359</v>
      </c>
      <c r="E36" s="4" t="s">
        <v>454</v>
      </c>
      <c r="F36" s="4" t="s">
        <v>455</v>
      </c>
      <c r="G36" s="4" t="s">
        <v>41</v>
      </c>
      <c r="H36" s="8">
        <v>4</v>
      </c>
      <c r="I36" s="4" t="s">
        <v>415</v>
      </c>
    </row>
    <row r="37" spans="1:9" ht="15" customHeight="1" x14ac:dyDescent="0.25">
      <c r="A37" s="29">
        <v>46272</v>
      </c>
      <c r="B37" s="4" t="s">
        <v>461</v>
      </c>
      <c r="C37" s="4" t="s">
        <v>462</v>
      </c>
      <c r="D37" s="4" t="s">
        <v>359</v>
      </c>
      <c r="E37" s="4" t="s">
        <v>463</v>
      </c>
      <c r="F37" s="4" t="s">
        <v>464</v>
      </c>
      <c r="G37" s="4" t="s">
        <v>41</v>
      </c>
      <c r="H37" s="8">
        <v>2</v>
      </c>
      <c r="I37" s="4" t="s">
        <v>465</v>
      </c>
    </row>
    <row r="38" spans="1:9" ht="15" customHeight="1" x14ac:dyDescent="0.25">
      <c r="A38" s="29">
        <v>46273</v>
      </c>
      <c r="B38" s="4" t="s">
        <v>470</v>
      </c>
      <c r="C38" s="4" t="s">
        <v>471</v>
      </c>
      <c r="D38" s="4" t="s">
        <v>359</v>
      </c>
      <c r="E38" s="4" t="s">
        <v>472</v>
      </c>
      <c r="F38" s="4" t="s">
        <v>473</v>
      </c>
      <c r="G38" s="4" t="s">
        <v>41</v>
      </c>
      <c r="H38" s="8">
        <v>4</v>
      </c>
      <c r="I38" s="4" t="s">
        <v>344</v>
      </c>
    </row>
    <row r="39" spans="1:9" ht="15" customHeight="1" x14ac:dyDescent="0.25">
      <c r="A39" s="29">
        <v>46273</v>
      </c>
      <c r="B39" s="4" t="s">
        <v>482</v>
      </c>
      <c r="C39" s="4" t="s">
        <v>483</v>
      </c>
      <c r="D39" s="4" t="s">
        <v>359</v>
      </c>
      <c r="E39" s="4" t="s">
        <v>484</v>
      </c>
      <c r="F39" s="4" t="s">
        <v>485</v>
      </c>
      <c r="G39" s="4" t="s">
        <v>41</v>
      </c>
      <c r="H39" s="8">
        <v>2</v>
      </c>
      <c r="I39" s="4" t="s">
        <v>172</v>
      </c>
    </row>
    <row r="40" spans="1:9" ht="15" customHeight="1" x14ac:dyDescent="0.25">
      <c r="A40" s="29">
        <v>46273</v>
      </c>
      <c r="B40" s="4" t="s">
        <v>486</v>
      </c>
      <c r="C40" s="4" t="s">
        <v>487</v>
      </c>
      <c r="D40" s="4" t="s">
        <v>359</v>
      </c>
      <c r="E40" s="4" t="s">
        <v>454</v>
      </c>
      <c r="F40" s="4" t="s">
        <v>488</v>
      </c>
      <c r="G40" s="4" t="s">
        <v>43</v>
      </c>
      <c r="H40" s="8">
        <v>1</v>
      </c>
      <c r="I40" s="4" t="s">
        <v>310</v>
      </c>
    </row>
    <row r="41" spans="1:9" ht="15" customHeight="1" x14ac:dyDescent="0.25">
      <c r="A41" s="29">
        <v>46273</v>
      </c>
      <c r="B41" s="4" t="s">
        <v>489</v>
      </c>
      <c r="C41" s="4" t="s">
        <v>490</v>
      </c>
      <c r="D41" s="4" t="s">
        <v>359</v>
      </c>
      <c r="E41" s="4" t="s">
        <v>472</v>
      </c>
      <c r="F41" s="4" t="s">
        <v>491</v>
      </c>
      <c r="G41" s="4" t="s">
        <v>43</v>
      </c>
      <c r="H41" s="8">
        <v>1</v>
      </c>
      <c r="I41" s="4" t="s">
        <v>279</v>
      </c>
    </row>
    <row r="42" spans="1:9" ht="15" customHeight="1" x14ac:dyDescent="0.25">
      <c r="A42" s="29">
        <v>46274</v>
      </c>
      <c r="B42" s="4" t="s">
        <v>492</v>
      </c>
      <c r="C42" s="4" t="s">
        <v>493</v>
      </c>
      <c r="D42" s="4" t="s">
        <v>359</v>
      </c>
      <c r="E42" s="4" t="s">
        <v>494</v>
      </c>
      <c r="F42" s="4" t="s">
        <v>495</v>
      </c>
      <c r="G42" s="4" t="s">
        <v>41</v>
      </c>
      <c r="H42" s="8">
        <v>7</v>
      </c>
      <c r="I42" s="4" t="s">
        <v>496</v>
      </c>
    </row>
    <row r="43" spans="1:9" ht="15" customHeight="1" x14ac:dyDescent="0.25">
      <c r="A43" s="29">
        <v>46274</v>
      </c>
      <c r="B43" s="4" t="s">
        <v>513</v>
      </c>
      <c r="C43" s="4" t="s">
        <v>514</v>
      </c>
      <c r="D43" s="4" t="s">
        <v>359</v>
      </c>
      <c r="E43" s="4" t="s">
        <v>515</v>
      </c>
      <c r="F43" s="4" t="s">
        <v>516</v>
      </c>
      <c r="G43" s="4" t="s">
        <v>41</v>
      </c>
      <c r="H43" s="8">
        <v>1</v>
      </c>
      <c r="I43" s="4" t="s">
        <v>310</v>
      </c>
    </row>
    <row r="44" spans="1:9" ht="15" customHeight="1" x14ac:dyDescent="0.25">
      <c r="A44" s="29">
        <v>46275</v>
      </c>
      <c r="B44" s="4" t="s">
        <v>522</v>
      </c>
      <c r="C44" s="4" t="s">
        <v>523</v>
      </c>
      <c r="D44" s="4" t="s">
        <v>359</v>
      </c>
      <c r="E44" s="4" t="s">
        <v>524</v>
      </c>
      <c r="F44" s="4" t="s">
        <v>525</v>
      </c>
      <c r="G44" s="4" t="s">
        <v>40</v>
      </c>
      <c r="H44" s="8">
        <v>12</v>
      </c>
      <c r="I44" s="4" t="s">
        <v>526</v>
      </c>
    </row>
    <row r="45" spans="1:9" ht="15" customHeight="1" x14ac:dyDescent="0.25">
      <c r="A45" s="29">
        <v>46276</v>
      </c>
      <c r="B45" s="4" t="s">
        <v>522</v>
      </c>
      <c r="C45" s="4" t="s">
        <v>523</v>
      </c>
      <c r="D45" s="4" t="s">
        <v>359</v>
      </c>
      <c r="E45" s="4" t="s">
        <v>524</v>
      </c>
      <c r="F45" s="4" t="s">
        <v>525</v>
      </c>
      <c r="G45" s="4" t="s">
        <v>40</v>
      </c>
      <c r="H45" s="8">
        <v>7</v>
      </c>
      <c r="I45" s="4" t="s">
        <v>534</v>
      </c>
    </row>
    <row r="46" spans="1:9" ht="15" customHeight="1" x14ac:dyDescent="0.25">
      <c r="A46" s="29">
        <v>46279</v>
      </c>
      <c r="B46" s="4" t="s">
        <v>545</v>
      </c>
      <c r="C46" s="4" t="s">
        <v>546</v>
      </c>
      <c r="D46" s="4" t="s">
        <v>359</v>
      </c>
      <c r="E46" s="4" t="s">
        <v>547</v>
      </c>
      <c r="F46" s="4" t="s">
        <v>548</v>
      </c>
      <c r="G46" s="4" t="s">
        <v>41</v>
      </c>
      <c r="H46" s="8">
        <v>2</v>
      </c>
      <c r="I46" s="4" t="s">
        <v>353</v>
      </c>
    </row>
    <row r="47" spans="1:9" ht="15" customHeight="1" x14ac:dyDescent="0.25">
      <c r="A47" s="29">
        <v>46279</v>
      </c>
      <c r="B47" s="4" t="s">
        <v>552</v>
      </c>
      <c r="C47" s="4" t="s">
        <v>553</v>
      </c>
      <c r="D47" s="4" t="s">
        <v>359</v>
      </c>
      <c r="E47" s="4" t="s">
        <v>547</v>
      </c>
      <c r="F47" s="4" t="s">
        <v>554</v>
      </c>
      <c r="G47" s="4" t="s">
        <v>43</v>
      </c>
      <c r="H47" s="8">
        <v>1</v>
      </c>
      <c r="I47" s="4" t="s">
        <v>302</v>
      </c>
    </row>
    <row r="48" spans="1:9" ht="15" customHeight="1" x14ac:dyDescent="0.25">
      <c r="A48" s="29">
        <v>46280</v>
      </c>
      <c r="B48" s="4" t="s">
        <v>555</v>
      </c>
      <c r="C48" s="4" t="s">
        <v>556</v>
      </c>
      <c r="D48" s="4" t="s">
        <v>359</v>
      </c>
      <c r="E48" s="4" t="s">
        <v>557</v>
      </c>
      <c r="F48" s="4" t="s">
        <v>558</v>
      </c>
      <c r="G48" s="4" t="s">
        <v>43</v>
      </c>
      <c r="H48" s="8">
        <v>7</v>
      </c>
      <c r="I48" s="4" t="s">
        <v>534</v>
      </c>
    </row>
    <row r="49" spans="1:9" ht="15" customHeight="1" x14ac:dyDescent="0.25">
      <c r="A49" s="29">
        <v>46280</v>
      </c>
      <c r="B49" s="4" t="s">
        <v>559</v>
      </c>
      <c r="C49" s="4" t="s">
        <v>560</v>
      </c>
      <c r="D49" s="4" t="s">
        <v>359</v>
      </c>
      <c r="E49" s="4" t="s">
        <v>561</v>
      </c>
      <c r="F49" s="4" t="s">
        <v>562</v>
      </c>
      <c r="G49" s="4" t="s">
        <v>41</v>
      </c>
      <c r="H49" s="8">
        <v>5</v>
      </c>
      <c r="I49" s="4" t="s">
        <v>563</v>
      </c>
    </row>
    <row r="50" spans="1:9" ht="15" customHeight="1" x14ac:dyDescent="0.25">
      <c r="A50" s="29">
        <v>46281</v>
      </c>
      <c r="B50" s="4" t="s">
        <v>585</v>
      </c>
      <c r="C50" s="4" t="s">
        <v>586</v>
      </c>
      <c r="D50" s="4" t="s">
        <v>359</v>
      </c>
      <c r="E50" s="4" t="s">
        <v>587</v>
      </c>
      <c r="F50" s="4" t="s">
        <v>588</v>
      </c>
      <c r="G50" s="4" t="s">
        <v>41</v>
      </c>
      <c r="H50" s="8">
        <v>4</v>
      </c>
      <c r="I50" s="4" t="s">
        <v>391</v>
      </c>
    </row>
    <row r="51" spans="1:9" ht="15" customHeight="1" x14ac:dyDescent="0.25">
      <c r="A51" s="29">
        <v>46281</v>
      </c>
      <c r="B51" s="4" t="s">
        <v>589</v>
      </c>
      <c r="C51" s="4" t="s">
        <v>590</v>
      </c>
      <c r="D51" s="4" t="s">
        <v>359</v>
      </c>
      <c r="E51" s="4" t="s">
        <v>590</v>
      </c>
      <c r="F51" s="4" t="s">
        <v>591</v>
      </c>
      <c r="G51" s="4" t="s">
        <v>40</v>
      </c>
      <c r="H51" s="8">
        <v>3</v>
      </c>
      <c r="I51" s="4" t="s">
        <v>420</v>
      </c>
    </row>
    <row r="52" spans="1:9" ht="15" customHeight="1" x14ac:dyDescent="0.25">
      <c r="A52" s="29">
        <v>46281</v>
      </c>
      <c r="B52" s="4" t="s">
        <v>596</v>
      </c>
      <c r="C52" s="4" t="s">
        <v>597</v>
      </c>
      <c r="D52" s="4" t="s">
        <v>359</v>
      </c>
      <c r="E52" s="4" t="s">
        <v>597</v>
      </c>
      <c r="F52" s="4" t="s">
        <v>598</v>
      </c>
      <c r="G52" s="4" t="s">
        <v>42</v>
      </c>
      <c r="H52" s="8">
        <v>2</v>
      </c>
      <c r="I52" s="4" t="s">
        <v>465</v>
      </c>
    </row>
    <row r="53" spans="1:9" ht="15" customHeight="1" x14ac:dyDescent="0.25">
      <c r="A53" s="29">
        <v>46282</v>
      </c>
      <c r="B53" s="4" t="s">
        <v>608</v>
      </c>
      <c r="C53" s="4" t="s">
        <v>609</v>
      </c>
      <c r="D53" s="4" t="s">
        <v>359</v>
      </c>
      <c r="E53" s="4" t="s">
        <v>610</v>
      </c>
      <c r="F53" s="4" t="s">
        <v>611</v>
      </c>
      <c r="G53" s="4" t="s">
        <v>43</v>
      </c>
      <c r="H53" s="8">
        <v>2</v>
      </c>
      <c r="I53" s="4" t="s">
        <v>267</v>
      </c>
    </row>
    <row r="54" spans="1:9" ht="15" customHeight="1" x14ac:dyDescent="0.25">
      <c r="A54" s="29">
        <v>46282</v>
      </c>
      <c r="B54" s="4" t="s">
        <v>612</v>
      </c>
      <c r="C54" s="4" t="s">
        <v>613</v>
      </c>
      <c r="D54" s="4" t="s">
        <v>359</v>
      </c>
      <c r="E54" s="4" t="s">
        <v>614</v>
      </c>
      <c r="F54" s="4" t="s">
        <v>615</v>
      </c>
      <c r="G54" s="4" t="s">
        <v>41</v>
      </c>
      <c r="H54" s="8">
        <v>1</v>
      </c>
      <c r="I54" s="4" t="s">
        <v>429</v>
      </c>
    </row>
    <row r="55" spans="1:9" ht="15" customHeight="1" x14ac:dyDescent="0.25">
      <c r="A55" s="29">
        <v>46286</v>
      </c>
      <c r="B55" s="4" t="s">
        <v>629</v>
      </c>
      <c r="C55" s="4" t="s">
        <v>630</v>
      </c>
      <c r="D55" s="4" t="s">
        <v>359</v>
      </c>
      <c r="E55" s="4" t="s">
        <v>494</v>
      </c>
      <c r="F55" s="4" t="s">
        <v>631</v>
      </c>
      <c r="G55" s="4" t="s">
        <v>41</v>
      </c>
      <c r="H55" s="8">
        <v>12</v>
      </c>
      <c r="I55" s="4" t="s">
        <v>632</v>
      </c>
    </row>
    <row r="56" spans="1:9" ht="15" customHeight="1" x14ac:dyDescent="0.25">
      <c r="A56" s="29">
        <v>46287</v>
      </c>
      <c r="B56" s="4" t="s">
        <v>639</v>
      </c>
      <c r="C56" s="4" t="s">
        <v>640</v>
      </c>
      <c r="D56" s="4" t="s">
        <v>359</v>
      </c>
      <c r="E56" s="4" t="s">
        <v>494</v>
      </c>
      <c r="F56" s="4" t="s">
        <v>641</v>
      </c>
      <c r="G56" s="4" t="s">
        <v>41</v>
      </c>
      <c r="H56" s="8">
        <v>6</v>
      </c>
      <c r="I56" s="4" t="s">
        <v>642</v>
      </c>
    </row>
    <row r="57" spans="1:9" ht="15" customHeight="1" x14ac:dyDescent="0.25">
      <c r="A57" s="29">
        <v>46287</v>
      </c>
      <c r="B57" s="4" t="s">
        <v>648</v>
      </c>
      <c r="C57" s="4" t="s">
        <v>649</v>
      </c>
      <c r="D57" s="4" t="s">
        <v>359</v>
      </c>
      <c r="E57" s="4" t="s">
        <v>494</v>
      </c>
      <c r="F57" s="4" t="s">
        <v>650</v>
      </c>
      <c r="G57" s="4" t="s">
        <v>41</v>
      </c>
      <c r="H57" s="8">
        <v>3</v>
      </c>
      <c r="I57" s="4" t="s">
        <v>240</v>
      </c>
    </row>
    <row r="58" spans="1:9" ht="15" customHeight="1" x14ac:dyDescent="0.25">
      <c r="A58" s="29">
        <v>46287</v>
      </c>
      <c r="B58" s="4" t="s">
        <v>651</v>
      </c>
      <c r="C58" s="4" t="s">
        <v>652</v>
      </c>
      <c r="D58" s="4" t="s">
        <v>359</v>
      </c>
      <c r="E58" s="4" t="s">
        <v>494</v>
      </c>
      <c r="F58" s="4" t="s">
        <v>653</v>
      </c>
      <c r="G58" s="4" t="s">
        <v>41</v>
      </c>
      <c r="H58" s="8">
        <v>3</v>
      </c>
      <c r="I58" s="4" t="s">
        <v>87</v>
      </c>
    </row>
    <row r="59" spans="1:9" ht="15" customHeight="1" x14ac:dyDescent="0.25">
      <c r="A59" s="29">
        <v>46288</v>
      </c>
      <c r="B59" s="4" t="s">
        <v>659</v>
      </c>
      <c r="C59" s="4" t="s">
        <v>660</v>
      </c>
      <c r="D59" s="4" t="s">
        <v>359</v>
      </c>
      <c r="E59" s="4" t="s">
        <v>494</v>
      </c>
      <c r="F59" s="4" t="s">
        <v>661</v>
      </c>
      <c r="G59" s="4" t="s">
        <v>41</v>
      </c>
      <c r="H59" s="8">
        <v>6</v>
      </c>
      <c r="I59" s="4" t="s">
        <v>662</v>
      </c>
    </row>
    <row r="60" spans="1:9" ht="15" customHeight="1" x14ac:dyDescent="0.25">
      <c r="A60" s="29">
        <v>46288</v>
      </c>
      <c r="B60" s="4" t="s">
        <v>677</v>
      </c>
      <c r="C60" s="4" t="s">
        <v>678</v>
      </c>
      <c r="D60" s="4" t="s">
        <v>359</v>
      </c>
      <c r="E60" s="4" t="s">
        <v>494</v>
      </c>
      <c r="F60" s="4" t="s">
        <v>679</v>
      </c>
      <c r="G60" s="4" t="s">
        <v>41</v>
      </c>
      <c r="H60" s="8">
        <v>2</v>
      </c>
      <c r="I60" s="4" t="s">
        <v>465</v>
      </c>
    </row>
    <row r="61" spans="1:9" ht="15" customHeight="1" x14ac:dyDescent="0.25">
      <c r="A61" s="29">
        <v>46288</v>
      </c>
      <c r="B61" s="4" t="s">
        <v>680</v>
      </c>
      <c r="C61" s="4" t="s">
        <v>681</v>
      </c>
      <c r="D61" s="4" t="s">
        <v>359</v>
      </c>
      <c r="E61" s="4" t="s">
        <v>494</v>
      </c>
      <c r="F61" s="4" t="s">
        <v>682</v>
      </c>
      <c r="G61" s="4" t="s">
        <v>41</v>
      </c>
      <c r="H61" s="8">
        <v>1</v>
      </c>
      <c r="I61" s="4" t="s">
        <v>683</v>
      </c>
    </row>
    <row r="62" spans="1:9" ht="15" customHeight="1" x14ac:dyDescent="0.25">
      <c r="A62" s="29">
        <v>46289</v>
      </c>
      <c r="B62" s="4" t="s">
        <v>687</v>
      </c>
      <c r="C62" s="4" t="s">
        <v>688</v>
      </c>
      <c r="D62" s="4" t="s">
        <v>359</v>
      </c>
      <c r="E62" s="4" t="s">
        <v>689</v>
      </c>
      <c r="F62" s="4" t="s">
        <v>690</v>
      </c>
      <c r="G62" s="4" t="s">
        <v>41</v>
      </c>
      <c r="H62" s="8">
        <v>5</v>
      </c>
      <c r="I62" s="4" t="s">
        <v>288</v>
      </c>
    </row>
    <row r="63" spans="1:9" ht="15" customHeight="1" x14ac:dyDescent="0.25">
      <c r="A63" s="29">
        <v>46289</v>
      </c>
      <c r="B63" s="4" t="s">
        <v>700</v>
      </c>
      <c r="C63" s="4" t="s">
        <v>701</v>
      </c>
      <c r="D63" s="4" t="s">
        <v>359</v>
      </c>
      <c r="E63" s="4" t="s">
        <v>689</v>
      </c>
      <c r="F63" s="4" t="s">
        <v>702</v>
      </c>
      <c r="G63" s="4" t="s">
        <v>43</v>
      </c>
      <c r="H63" s="8">
        <v>1</v>
      </c>
      <c r="I63" s="4" t="s">
        <v>703</v>
      </c>
    </row>
    <row r="64" spans="1:9" ht="15" customHeight="1" x14ac:dyDescent="0.25">
      <c r="A64" s="29">
        <v>46293</v>
      </c>
      <c r="B64" s="4" t="s">
        <v>723</v>
      </c>
      <c r="C64" s="4" t="s">
        <v>724</v>
      </c>
      <c r="D64" s="4" t="s">
        <v>359</v>
      </c>
      <c r="E64" s="4" t="s">
        <v>494</v>
      </c>
      <c r="F64" s="4" t="s">
        <v>725</v>
      </c>
      <c r="G64" s="4" t="s">
        <v>43</v>
      </c>
      <c r="H64" s="8">
        <v>2</v>
      </c>
      <c r="I64" s="4" t="s">
        <v>445</v>
      </c>
    </row>
    <row r="65" spans="1:9" ht="15" customHeight="1" x14ac:dyDescent="0.25">
      <c r="A65" s="29">
        <v>46293</v>
      </c>
      <c r="B65" s="4" t="s">
        <v>726</v>
      </c>
      <c r="C65" s="4" t="s">
        <v>727</v>
      </c>
      <c r="D65" s="4" t="s">
        <v>359</v>
      </c>
      <c r="E65" s="4" t="s">
        <v>494</v>
      </c>
      <c r="F65" s="4" t="s">
        <v>728</v>
      </c>
      <c r="G65" s="4" t="s">
        <v>43</v>
      </c>
      <c r="H65" s="8">
        <v>2</v>
      </c>
      <c r="I65" s="4" t="s">
        <v>512</v>
      </c>
    </row>
    <row r="66" spans="1:9" ht="15" customHeight="1" x14ac:dyDescent="0.25">
      <c r="A66" s="29">
        <v>46293</v>
      </c>
      <c r="B66" s="4" t="s">
        <v>729</v>
      </c>
      <c r="C66" s="4" t="s">
        <v>730</v>
      </c>
      <c r="D66" s="4" t="s">
        <v>359</v>
      </c>
      <c r="E66" s="4" t="s">
        <v>494</v>
      </c>
      <c r="F66" s="4" t="s">
        <v>731</v>
      </c>
      <c r="G66" s="4" t="s">
        <v>43</v>
      </c>
      <c r="H66" s="8">
        <v>1</v>
      </c>
      <c r="I66" s="4" t="s">
        <v>306</v>
      </c>
    </row>
    <row r="67" spans="1:9" ht="15" customHeight="1" x14ac:dyDescent="0.25">
      <c r="A67" s="29">
        <v>46293</v>
      </c>
      <c r="B67" s="4" t="s">
        <v>732</v>
      </c>
      <c r="C67" s="4" t="s">
        <v>733</v>
      </c>
      <c r="D67" s="4" t="s">
        <v>359</v>
      </c>
      <c r="E67" s="4" t="s">
        <v>494</v>
      </c>
      <c r="F67" s="4" t="s">
        <v>734</v>
      </c>
      <c r="G67" s="4" t="s">
        <v>43</v>
      </c>
      <c r="H67" s="8">
        <v>1</v>
      </c>
      <c r="I67" s="4" t="s">
        <v>406</v>
      </c>
    </row>
    <row r="68" spans="1:9" ht="15" customHeight="1" x14ac:dyDescent="0.25">
      <c r="A68" s="29">
        <v>46294</v>
      </c>
      <c r="B68" s="4" t="s">
        <v>747</v>
      </c>
      <c r="C68" s="4" t="s">
        <v>748</v>
      </c>
      <c r="D68" s="4" t="s">
        <v>749</v>
      </c>
      <c r="E68" s="4" t="s">
        <v>750</v>
      </c>
      <c r="F68" s="4" t="s">
        <v>751</v>
      </c>
      <c r="G68" s="4" t="s">
        <v>41</v>
      </c>
      <c r="H68" s="8">
        <v>2</v>
      </c>
      <c r="I68" s="4" t="s">
        <v>146</v>
      </c>
    </row>
    <row r="69" spans="1:9" ht="15" customHeight="1" x14ac:dyDescent="0.25">
      <c r="A69" s="29">
        <v>46294</v>
      </c>
      <c r="B69" s="4" t="s">
        <v>758</v>
      </c>
      <c r="C69" s="4" t="s">
        <v>759</v>
      </c>
      <c r="D69" s="4" t="s">
        <v>749</v>
      </c>
      <c r="E69" s="4" t="s">
        <v>750</v>
      </c>
      <c r="F69" s="4" t="s">
        <v>760</v>
      </c>
      <c r="G69" s="4" t="s">
        <v>43</v>
      </c>
      <c r="H69" s="8">
        <v>1</v>
      </c>
      <c r="I69" s="4" t="s">
        <v>63</v>
      </c>
    </row>
    <row r="70" spans="1:9" ht="15" customHeight="1" x14ac:dyDescent="0.25">
      <c r="A70" s="29">
        <v>46294</v>
      </c>
      <c r="B70" s="4" t="s">
        <v>761</v>
      </c>
      <c r="C70" s="4" t="s">
        <v>762</v>
      </c>
      <c r="D70" s="4" t="s">
        <v>359</v>
      </c>
      <c r="E70" s="4" t="s">
        <v>494</v>
      </c>
      <c r="F70" s="4" t="s">
        <v>763</v>
      </c>
      <c r="G70" s="4" t="s">
        <v>43</v>
      </c>
      <c r="H70" s="8">
        <v>1</v>
      </c>
      <c r="I70" s="4" t="s">
        <v>227</v>
      </c>
    </row>
    <row r="71" spans="1:9" ht="15" customHeight="1" x14ac:dyDescent="0.25">
      <c r="A71" s="29">
        <v>46294</v>
      </c>
      <c r="B71" s="4" t="s">
        <v>764</v>
      </c>
      <c r="C71" s="4" t="s">
        <v>765</v>
      </c>
      <c r="D71" s="4" t="s">
        <v>359</v>
      </c>
      <c r="E71" s="4" t="s">
        <v>1016</v>
      </c>
      <c r="F71" s="4" t="s">
        <v>766</v>
      </c>
      <c r="G71" s="4" t="s">
        <v>43</v>
      </c>
      <c r="H71" s="8">
        <v>1</v>
      </c>
      <c r="I71" s="4" t="s">
        <v>767</v>
      </c>
    </row>
    <row r="72" spans="1:9" ht="15" customHeight="1" x14ac:dyDescent="0.25">
      <c r="A72" s="29">
        <v>46295</v>
      </c>
      <c r="B72" s="4" t="s">
        <v>772</v>
      </c>
      <c r="C72" s="4" t="s">
        <v>773</v>
      </c>
      <c r="D72" s="4" t="s">
        <v>749</v>
      </c>
      <c r="E72" s="4" t="s">
        <v>774</v>
      </c>
      <c r="F72" s="4" t="s">
        <v>775</v>
      </c>
      <c r="G72" s="4" t="s">
        <v>41</v>
      </c>
      <c r="H72" s="8">
        <v>5</v>
      </c>
      <c r="I72" s="4" t="s">
        <v>362</v>
      </c>
    </row>
    <row r="73" spans="1:9" ht="15" customHeight="1" x14ac:dyDescent="0.25">
      <c r="A73" s="29">
        <v>46295</v>
      </c>
      <c r="B73" s="4" t="s">
        <v>787</v>
      </c>
      <c r="C73" s="4" t="s">
        <v>788</v>
      </c>
      <c r="D73" s="4" t="s">
        <v>749</v>
      </c>
      <c r="E73" s="4" t="s">
        <v>789</v>
      </c>
      <c r="F73" s="4" t="s">
        <v>790</v>
      </c>
      <c r="G73" s="4" t="s">
        <v>41</v>
      </c>
      <c r="H73" s="8">
        <v>1</v>
      </c>
      <c r="I73" s="4" t="s">
        <v>683</v>
      </c>
    </row>
    <row r="74" spans="1:9" ht="15" customHeight="1" x14ac:dyDescent="0.25">
      <c r="A74" s="29">
        <v>46295</v>
      </c>
      <c r="B74" s="4" t="s">
        <v>791</v>
      </c>
      <c r="C74" s="4" t="s">
        <v>792</v>
      </c>
      <c r="D74" s="4" t="s">
        <v>749</v>
      </c>
      <c r="E74" s="4" t="s">
        <v>789</v>
      </c>
      <c r="F74" s="4" t="s">
        <v>793</v>
      </c>
      <c r="G74" s="4" t="s">
        <v>43</v>
      </c>
      <c r="H74" s="8">
        <v>1</v>
      </c>
      <c r="I74" s="4" t="s">
        <v>429</v>
      </c>
    </row>
    <row r="75" spans="1:9" ht="15" customHeight="1" x14ac:dyDescent="0.25">
      <c r="A75" s="29">
        <v>46296</v>
      </c>
      <c r="B75" s="4" t="s">
        <v>794</v>
      </c>
      <c r="C75" s="4" t="s">
        <v>795</v>
      </c>
      <c r="D75" s="4" t="s">
        <v>749</v>
      </c>
      <c r="E75" s="4" t="s">
        <v>796</v>
      </c>
      <c r="F75" s="4" t="s">
        <v>797</v>
      </c>
      <c r="G75" s="4" t="s">
        <v>41</v>
      </c>
      <c r="H75" s="8">
        <v>4</v>
      </c>
      <c r="I75" s="4" t="s">
        <v>798</v>
      </c>
    </row>
    <row r="76" spans="1:9" ht="15" customHeight="1" x14ac:dyDescent="0.25">
      <c r="A76" s="29">
        <v>46296</v>
      </c>
      <c r="B76" s="4" t="s">
        <v>809</v>
      </c>
      <c r="C76" s="4" t="s">
        <v>810</v>
      </c>
      <c r="D76" s="4" t="s">
        <v>749</v>
      </c>
      <c r="E76" s="4" t="s">
        <v>796</v>
      </c>
      <c r="F76" s="4" t="s">
        <v>811</v>
      </c>
      <c r="G76" s="4" t="s">
        <v>43</v>
      </c>
      <c r="H76" s="8">
        <v>1</v>
      </c>
      <c r="I76" s="4" t="s">
        <v>812</v>
      </c>
    </row>
    <row r="77" spans="1:9" ht="15" customHeight="1" x14ac:dyDescent="0.25">
      <c r="A77" s="29">
        <v>46296</v>
      </c>
      <c r="B77" s="4" t="s">
        <v>813</v>
      </c>
      <c r="C77" s="4" t="s">
        <v>814</v>
      </c>
      <c r="D77" s="4" t="s">
        <v>749</v>
      </c>
      <c r="E77" s="4" t="s">
        <v>815</v>
      </c>
      <c r="F77" s="4" t="s">
        <v>816</v>
      </c>
      <c r="G77" s="4" t="s">
        <v>43</v>
      </c>
      <c r="H77" s="8">
        <v>1</v>
      </c>
      <c r="I77" s="4" t="s">
        <v>306</v>
      </c>
    </row>
    <row r="78" spans="1:9" ht="15" customHeight="1" x14ac:dyDescent="0.25">
      <c r="A78" s="29">
        <v>46297</v>
      </c>
      <c r="B78" s="4" t="s">
        <v>817</v>
      </c>
      <c r="C78" s="4" t="s">
        <v>818</v>
      </c>
      <c r="D78" s="4" t="s">
        <v>749</v>
      </c>
      <c r="E78" s="4" t="s">
        <v>774</v>
      </c>
      <c r="F78" s="4" t="s">
        <v>819</v>
      </c>
      <c r="G78" s="4" t="s">
        <v>41</v>
      </c>
      <c r="H78" s="8">
        <v>3</v>
      </c>
      <c r="I78" s="4" t="s">
        <v>165</v>
      </c>
    </row>
    <row r="79" spans="1:9" ht="15" customHeight="1" x14ac:dyDescent="0.25">
      <c r="A79" s="29">
        <v>46297</v>
      </c>
      <c r="B79" s="4" t="s">
        <v>820</v>
      </c>
      <c r="C79" s="4" t="s">
        <v>821</v>
      </c>
      <c r="D79" s="4" t="s">
        <v>749</v>
      </c>
      <c r="E79" s="4" t="s">
        <v>774</v>
      </c>
      <c r="F79" s="4" t="s">
        <v>822</v>
      </c>
      <c r="G79" s="4" t="s">
        <v>41</v>
      </c>
      <c r="H79" s="8">
        <v>3</v>
      </c>
      <c r="I79" s="4" t="s">
        <v>823</v>
      </c>
    </row>
    <row r="80" spans="1:9" ht="15" customHeight="1" x14ac:dyDescent="0.25">
      <c r="A80" s="29">
        <v>46297</v>
      </c>
      <c r="B80" s="4" t="s">
        <v>824</v>
      </c>
      <c r="C80" s="4" t="s">
        <v>825</v>
      </c>
      <c r="D80" s="4" t="s">
        <v>749</v>
      </c>
      <c r="E80" s="4" t="s">
        <v>826</v>
      </c>
      <c r="F80" s="4" t="s">
        <v>827</v>
      </c>
      <c r="G80" s="4" t="s">
        <v>41</v>
      </c>
      <c r="H80" s="8">
        <v>2</v>
      </c>
      <c r="I80" s="4" t="s">
        <v>353</v>
      </c>
    </row>
    <row r="81" spans="1:9" ht="15" customHeight="1" x14ac:dyDescent="0.25">
      <c r="A81" s="29">
        <v>46301</v>
      </c>
      <c r="B81" s="4" t="s">
        <v>839</v>
      </c>
      <c r="C81" s="4" t="s">
        <v>840</v>
      </c>
      <c r="D81" s="4" t="s">
        <v>749</v>
      </c>
      <c r="E81" s="4" t="s">
        <v>774</v>
      </c>
      <c r="F81" s="4" t="s">
        <v>841</v>
      </c>
      <c r="G81" s="4" t="s">
        <v>41</v>
      </c>
      <c r="H81" s="8">
        <v>6</v>
      </c>
      <c r="I81" s="4" t="s">
        <v>568</v>
      </c>
    </row>
    <row r="82" spans="1:9" ht="15" customHeight="1" x14ac:dyDescent="0.25">
      <c r="A82" s="29">
        <v>46301</v>
      </c>
      <c r="B82" s="4" t="s">
        <v>858</v>
      </c>
      <c r="C82" s="4" t="s">
        <v>859</v>
      </c>
      <c r="D82" s="4" t="s">
        <v>749</v>
      </c>
      <c r="E82" s="4" t="s">
        <v>774</v>
      </c>
      <c r="F82" s="4" t="s">
        <v>860</v>
      </c>
      <c r="G82" s="4" t="s">
        <v>43</v>
      </c>
      <c r="H82" s="8">
        <v>2</v>
      </c>
      <c r="I82" s="4" t="s">
        <v>371</v>
      </c>
    </row>
    <row r="83" spans="1:9" ht="15" customHeight="1" x14ac:dyDescent="0.25">
      <c r="A83" s="29">
        <v>46302</v>
      </c>
      <c r="B83" s="4" t="s">
        <v>870</v>
      </c>
      <c r="C83" s="4" t="s">
        <v>871</v>
      </c>
      <c r="D83" s="4" t="s">
        <v>749</v>
      </c>
      <c r="E83" s="4" t="s">
        <v>774</v>
      </c>
      <c r="F83" s="4" t="s">
        <v>872</v>
      </c>
      <c r="G83" s="4" t="s">
        <v>41</v>
      </c>
      <c r="H83" s="8">
        <v>7</v>
      </c>
      <c r="I83" s="4" t="s">
        <v>534</v>
      </c>
    </row>
    <row r="84" spans="1:9" ht="15" customHeight="1" x14ac:dyDescent="0.25">
      <c r="A84" s="29">
        <v>46302</v>
      </c>
      <c r="B84" s="4" t="s">
        <v>880</v>
      </c>
      <c r="C84" s="4" t="s">
        <v>881</v>
      </c>
      <c r="D84" s="4" t="s">
        <v>749</v>
      </c>
      <c r="E84" s="4" t="s">
        <v>774</v>
      </c>
      <c r="F84" s="4" t="s">
        <v>882</v>
      </c>
      <c r="G84" s="4" t="s">
        <v>43</v>
      </c>
      <c r="H84" s="8">
        <v>3</v>
      </c>
      <c r="I84" s="4" t="s">
        <v>116</v>
      </c>
    </row>
    <row r="85" spans="1:9" ht="15" customHeight="1" x14ac:dyDescent="0.25">
      <c r="A85" s="29">
        <v>46302</v>
      </c>
      <c r="B85" s="4" t="s">
        <v>883</v>
      </c>
      <c r="C85" s="4" t="s">
        <v>884</v>
      </c>
      <c r="D85" s="4" t="s">
        <v>749</v>
      </c>
      <c r="E85" s="4" t="s">
        <v>885</v>
      </c>
      <c r="F85" s="4" t="s">
        <v>886</v>
      </c>
      <c r="G85" s="4" t="s">
        <v>43</v>
      </c>
      <c r="H85" s="8">
        <v>1</v>
      </c>
      <c r="I85" s="4" t="s">
        <v>406</v>
      </c>
    </row>
    <row r="86" spans="1:9" ht="15" customHeight="1" x14ac:dyDescent="0.25">
      <c r="A86" s="29">
        <v>46303</v>
      </c>
      <c r="B86" s="4" t="s">
        <v>890</v>
      </c>
      <c r="C86" s="4" t="s">
        <v>891</v>
      </c>
      <c r="D86" s="4" t="s">
        <v>749</v>
      </c>
      <c r="E86" s="4" t="s">
        <v>885</v>
      </c>
      <c r="F86" s="4" t="s">
        <v>892</v>
      </c>
      <c r="G86" s="4" t="s">
        <v>41</v>
      </c>
      <c r="H86" s="8">
        <v>2</v>
      </c>
      <c r="I86" s="4" t="s">
        <v>267</v>
      </c>
    </row>
    <row r="87" spans="1:9" s="48" customFormat="1" ht="15" customHeight="1" x14ac:dyDescent="0.25">
      <c r="A87" s="71">
        <v>46307</v>
      </c>
      <c r="B87" s="45" t="s">
        <v>900</v>
      </c>
      <c r="C87" s="45" t="s">
        <v>901</v>
      </c>
      <c r="D87" s="45" t="s">
        <v>855</v>
      </c>
      <c r="E87" s="45" t="s">
        <v>902</v>
      </c>
      <c r="F87" s="45" t="s">
        <v>903</v>
      </c>
      <c r="G87" s="45" t="s">
        <v>41</v>
      </c>
      <c r="H87" s="46">
        <v>4</v>
      </c>
      <c r="I87" s="45" t="s">
        <v>904</v>
      </c>
    </row>
    <row r="88" spans="1:9" s="48" customFormat="1" ht="15" customHeight="1" x14ac:dyDescent="0.25">
      <c r="A88" s="71">
        <v>46308</v>
      </c>
      <c r="B88" s="45" t="s">
        <v>912</v>
      </c>
      <c r="C88" s="45" t="s">
        <v>913</v>
      </c>
      <c r="D88" s="45" t="s">
        <v>855</v>
      </c>
      <c r="E88" s="45" t="s">
        <v>914</v>
      </c>
      <c r="F88" s="45" t="s">
        <v>915</v>
      </c>
      <c r="G88" s="45" t="s">
        <v>41</v>
      </c>
      <c r="H88" s="46">
        <v>2</v>
      </c>
      <c r="I88" s="45" t="s">
        <v>267</v>
      </c>
    </row>
    <row r="89" spans="1:9" s="48" customFormat="1" ht="15" customHeight="1" x14ac:dyDescent="0.25">
      <c r="A89" s="71">
        <v>46308</v>
      </c>
      <c r="B89" s="45" t="s">
        <v>916</v>
      </c>
      <c r="C89" s="45" t="s">
        <v>917</v>
      </c>
      <c r="D89" s="45" t="s">
        <v>359</v>
      </c>
      <c r="E89" s="45" t="s">
        <v>494</v>
      </c>
      <c r="F89" s="45" t="s">
        <v>918</v>
      </c>
      <c r="G89" s="45" t="s">
        <v>41</v>
      </c>
      <c r="H89" s="46">
        <v>2</v>
      </c>
      <c r="I89" s="45" t="s">
        <v>353</v>
      </c>
    </row>
    <row r="90" spans="1:9" s="48" customFormat="1" ht="15" customHeight="1" x14ac:dyDescent="0.25">
      <c r="A90" s="71">
        <v>46309</v>
      </c>
      <c r="B90" s="45" t="s">
        <v>925</v>
      </c>
      <c r="C90" s="45" t="s">
        <v>926</v>
      </c>
      <c r="D90" s="45" t="s">
        <v>359</v>
      </c>
      <c r="E90" s="45" t="s">
        <v>494</v>
      </c>
      <c r="F90" s="45" t="s">
        <v>927</v>
      </c>
      <c r="G90" s="45" t="s">
        <v>41</v>
      </c>
      <c r="H90" s="46">
        <v>4</v>
      </c>
      <c r="I90" s="45" t="s">
        <v>391</v>
      </c>
    </row>
    <row r="91" spans="1:9" s="48" customFormat="1" ht="15" customHeight="1" x14ac:dyDescent="0.25">
      <c r="A91" s="71">
        <v>46309</v>
      </c>
      <c r="B91" s="45" t="s">
        <v>928</v>
      </c>
      <c r="C91" s="45" t="s">
        <v>929</v>
      </c>
      <c r="D91" s="45" t="s">
        <v>359</v>
      </c>
      <c r="E91" s="45" t="s">
        <v>494</v>
      </c>
      <c r="F91" s="45" t="s">
        <v>930</v>
      </c>
      <c r="G91" s="45" t="s">
        <v>41</v>
      </c>
      <c r="H91" s="46">
        <v>4</v>
      </c>
      <c r="I91" s="45" t="s">
        <v>931</v>
      </c>
    </row>
    <row r="92" spans="1:9" s="48" customFormat="1" ht="15" customHeight="1" x14ac:dyDescent="0.25">
      <c r="A92" s="71">
        <v>46315</v>
      </c>
      <c r="B92" s="45" t="s">
        <v>959</v>
      </c>
      <c r="C92" s="45" t="s">
        <v>960</v>
      </c>
      <c r="D92" s="45" t="s">
        <v>56</v>
      </c>
      <c r="E92" s="45" t="s">
        <v>57</v>
      </c>
      <c r="F92" s="45" t="s">
        <v>961</v>
      </c>
      <c r="G92" s="45" t="s">
        <v>41</v>
      </c>
      <c r="H92" s="46">
        <v>3</v>
      </c>
      <c r="I92" s="72" t="s">
        <v>124</v>
      </c>
    </row>
    <row r="93" spans="1:9" s="48" customFormat="1" ht="15" customHeight="1" x14ac:dyDescent="0.25">
      <c r="A93" s="71">
        <v>46315</v>
      </c>
      <c r="B93" s="45" t="s">
        <v>956</v>
      </c>
      <c r="C93" s="45" t="s">
        <v>957</v>
      </c>
      <c r="D93" s="45" t="s">
        <v>56</v>
      </c>
      <c r="E93" s="45" t="s">
        <v>57</v>
      </c>
      <c r="F93" s="45" t="s">
        <v>958</v>
      </c>
      <c r="G93" s="45" t="s">
        <v>41</v>
      </c>
      <c r="H93" s="46">
        <v>3</v>
      </c>
      <c r="I93" s="72" t="s">
        <v>78</v>
      </c>
    </row>
    <row r="94" spans="1:9" s="48" customFormat="1" ht="15" customHeight="1" x14ac:dyDescent="0.25">
      <c r="A94" s="71">
        <v>46316</v>
      </c>
      <c r="B94" s="45" t="s">
        <v>968</v>
      </c>
      <c r="C94" s="45" t="s">
        <v>969</v>
      </c>
      <c r="D94" s="45" t="s">
        <v>56</v>
      </c>
      <c r="E94" s="45" t="s">
        <v>57</v>
      </c>
      <c r="F94" s="45" t="s">
        <v>970</v>
      </c>
      <c r="G94" s="45" t="s">
        <v>41</v>
      </c>
      <c r="H94" s="46">
        <v>6</v>
      </c>
      <c r="I94" s="72" t="s">
        <v>71</v>
      </c>
    </row>
    <row r="95" spans="1:9" s="48" customFormat="1" ht="15" customHeight="1" x14ac:dyDescent="0.25">
      <c r="A95" s="71">
        <v>46317</v>
      </c>
      <c r="B95" s="45" t="s">
        <v>992</v>
      </c>
      <c r="C95" s="45" t="s">
        <v>993</v>
      </c>
      <c r="D95" s="45" t="s">
        <v>56</v>
      </c>
      <c r="E95" s="45" t="s">
        <v>57</v>
      </c>
      <c r="F95" s="45" t="s">
        <v>994</v>
      </c>
      <c r="G95" s="45" t="s">
        <v>41</v>
      </c>
      <c r="H95" s="46">
        <v>7</v>
      </c>
      <c r="I95" s="72" t="s">
        <v>71</v>
      </c>
    </row>
  </sheetData>
  <autoFilter ref="A1:I86" xr:uid="{00000000-0009-0000-0000-000003000000}">
    <sortState xmlns:xlrd2="http://schemas.microsoft.com/office/spreadsheetml/2017/richdata2" ref="A2:I86">
      <sortCondition ref="A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4"/>
  <sheetViews>
    <sheetView zoomScaleNormal="100" workbookViewId="0">
      <pane ySplit="1" topLeftCell="A72" activePane="bottomLeft" state="frozen"/>
      <selection pane="bottomLeft" activeCell="E96" sqref="E96"/>
    </sheetView>
  </sheetViews>
  <sheetFormatPr defaultColWidth="8.7109375" defaultRowHeight="15" x14ac:dyDescent="0.25"/>
  <cols>
    <col min="1" max="1" width="11" customWidth="1"/>
    <col min="2" max="2" width="16" customWidth="1"/>
    <col min="3" max="3" width="20" customWidth="1"/>
    <col min="4" max="4" width="14" customWidth="1"/>
    <col min="5" max="5" width="22.42578125" bestFit="1" customWidth="1"/>
    <col min="6" max="6" width="40" customWidth="1"/>
    <col min="7" max="7" width="13" customWidth="1"/>
    <col min="8" max="8" width="8" customWidth="1"/>
    <col min="9" max="9" width="22" customWidth="1"/>
  </cols>
  <sheetData>
    <row r="1" spans="1:9" ht="23.25" customHeight="1" x14ac:dyDescent="0.25">
      <c r="A1" s="16" t="s">
        <v>45</v>
      </c>
      <c r="B1" s="16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39</v>
      </c>
      <c r="H1" s="16" t="s">
        <v>51</v>
      </c>
      <c r="I1" s="16" t="s">
        <v>52</v>
      </c>
    </row>
    <row r="2" spans="1:9" ht="15" customHeight="1" x14ac:dyDescent="0.25">
      <c r="A2" s="29">
        <v>46238</v>
      </c>
      <c r="B2" s="4" t="s">
        <v>88</v>
      </c>
      <c r="C2" s="4" t="s">
        <v>89</v>
      </c>
      <c r="D2" s="4" t="s">
        <v>56</v>
      </c>
      <c r="E2" s="4" t="s">
        <v>89</v>
      </c>
      <c r="F2" s="4" t="s">
        <v>90</v>
      </c>
      <c r="G2" s="4" t="s">
        <v>40</v>
      </c>
      <c r="H2" s="8">
        <v>2</v>
      </c>
      <c r="I2" s="18" t="s">
        <v>91</v>
      </c>
    </row>
    <row r="3" spans="1:9" ht="15" customHeight="1" x14ac:dyDescent="0.25">
      <c r="A3" s="29">
        <v>46238</v>
      </c>
      <c r="B3" s="4" t="s">
        <v>92</v>
      </c>
      <c r="C3" s="4" t="s">
        <v>93</v>
      </c>
      <c r="D3" s="4" t="s">
        <v>56</v>
      </c>
      <c r="E3" s="4" t="s">
        <v>94</v>
      </c>
      <c r="F3" s="4" t="s">
        <v>95</v>
      </c>
      <c r="G3" s="4" t="s">
        <v>41</v>
      </c>
      <c r="H3" s="8">
        <v>1</v>
      </c>
      <c r="I3" s="4" t="s">
        <v>96</v>
      </c>
    </row>
    <row r="4" spans="1:9" ht="15" customHeight="1" x14ac:dyDescent="0.25">
      <c r="A4" s="29">
        <v>46238</v>
      </c>
      <c r="B4" s="4" t="s">
        <v>97</v>
      </c>
      <c r="C4" s="4" t="s">
        <v>98</v>
      </c>
      <c r="D4" s="4" t="s">
        <v>56</v>
      </c>
      <c r="E4" s="4" t="s">
        <v>99</v>
      </c>
      <c r="F4" s="4" t="s">
        <v>100</v>
      </c>
      <c r="G4" s="4" t="s">
        <v>41</v>
      </c>
      <c r="H4" s="8">
        <v>1</v>
      </c>
      <c r="I4" s="4" t="s">
        <v>101</v>
      </c>
    </row>
    <row r="5" spans="1:9" ht="15" customHeight="1" x14ac:dyDescent="0.25">
      <c r="A5" s="29">
        <v>46239</v>
      </c>
      <c r="B5" s="4" t="s">
        <v>102</v>
      </c>
      <c r="C5" s="4" t="s">
        <v>103</v>
      </c>
      <c r="D5" s="4" t="s">
        <v>56</v>
      </c>
      <c r="E5" s="4" t="s">
        <v>57</v>
      </c>
      <c r="F5" s="4" t="s">
        <v>104</v>
      </c>
      <c r="G5" s="4" t="s">
        <v>41</v>
      </c>
      <c r="H5" s="8">
        <v>2</v>
      </c>
      <c r="I5" s="4" t="s">
        <v>87</v>
      </c>
    </row>
    <row r="6" spans="1:9" ht="15" customHeight="1" x14ac:dyDescent="0.25">
      <c r="A6" s="29">
        <v>46239</v>
      </c>
      <c r="B6" s="4" t="s">
        <v>105</v>
      </c>
      <c r="C6" s="4" t="s">
        <v>106</v>
      </c>
      <c r="D6" s="4" t="s">
        <v>56</v>
      </c>
      <c r="E6" s="4" t="s">
        <v>57</v>
      </c>
      <c r="F6" s="4" t="s">
        <v>107</v>
      </c>
      <c r="G6" s="4" t="s">
        <v>41</v>
      </c>
      <c r="H6" s="8">
        <v>2</v>
      </c>
      <c r="I6" s="4" t="s">
        <v>108</v>
      </c>
    </row>
    <row r="7" spans="1:9" ht="15" customHeight="1" x14ac:dyDescent="0.25">
      <c r="A7" s="29">
        <v>46239</v>
      </c>
      <c r="B7" s="4" t="s">
        <v>109</v>
      </c>
      <c r="C7" s="4" t="s">
        <v>110</v>
      </c>
      <c r="D7" s="4" t="s">
        <v>56</v>
      </c>
      <c r="E7" s="4" t="s">
        <v>57</v>
      </c>
      <c r="F7" s="4" t="s">
        <v>111</v>
      </c>
      <c r="G7" s="4" t="s">
        <v>43</v>
      </c>
      <c r="H7" s="8">
        <v>2</v>
      </c>
      <c r="I7" s="4" t="s">
        <v>112</v>
      </c>
    </row>
    <row r="8" spans="1:9" ht="15" customHeight="1" x14ac:dyDescent="0.25">
      <c r="A8" s="29">
        <v>46239</v>
      </c>
      <c r="B8" s="4" t="s">
        <v>113</v>
      </c>
      <c r="C8" s="4" t="s">
        <v>114</v>
      </c>
      <c r="D8" s="4" t="s">
        <v>56</v>
      </c>
      <c r="E8" s="4" t="s">
        <v>57</v>
      </c>
      <c r="F8" s="4" t="s">
        <v>115</v>
      </c>
      <c r="G8" s="4" t="s">
        <v>43</v>
      </c>
      <c r="H8" s="8">
        <v>2</v>
      </c>
      <c r="I8" s="4" t="s">
        <v>116</v>
      </c>
    </row>
    <row r="9" spans="1:9" ht="15" customHeight="1" x14ac:dyDescent="0.25">
      <c r="A9" s="29">
        <v>46240</v>
      </c>
      <c r="B9" s="4" t="s">
        <v>117</v>
      </c>
      <c r="C9" s="4" t="s">
        <v>118</v>
      </c>
      <c r="D9" s="4" t="s">
        <v>56</v>
      </c>
      <c r="E9" s="4" t="s">
        <v>57</v>
      </c>
      <c r="F9" s="4" t="s">
        <v>119</v>
      </c>
      <c r="G9" s="4" t="s">
        <v>41</v>
      </c>
      <c r="H9" s="8">
        <v>4</v>
      </c>
      <c r="I9" s="18" t="s">
        <v>120</v>
      </c>
    </row>
    <row r="10" spans="1:9" ht="15" customHeight="1" x14ac:dyDescent="0.25">
      <c r="A10" s="29">
        <v>46240</v>
      </c>
      <c r="B10" s="4" t="s">
        <v>121</v>
      </c>
      <c r="C10" s="4" t="s">
        <v>122</v>
      </c>
      <c r="D10" s="4" t="s">
        <v>56</v>
      </c>
      <c r="E10" s="4" t="s">
        <v>57</v>
      </c>
      <c r="F10" s="4" t="s">
        <v>123</v>
      </c>
      <c r="G10" s="4" t="s">
        <v>41</v>
      </c>
      <c r="H10" s="8">
        <v>2</v>
      </c>
      <c r="I10" s="18" t="s">
        <v>116</v>
      </c>
    </row>
    <row r="11" spans="1:9" ht="15" customHeight="1" x14ac:dyDescent="0.25">
      <c r="A11" s="29">
        <v>46241</v>
      </c>
      <c r="B11" s="4" t="s">
        <v>88</v>
      </c>
      <c r="C11" s="4" t="s">
        <v>89</v>
      </c>
      <c r="D11" s="4" t="s">
        <v>56</v>
      </c>
      <c r="E11" s="4" t="s">
        <v>89</v>
      </c>
      <c r="F11" s="4" t="s">
        <v>90</v>
      </c>
      <c r="G11" s="4" t="s">
        <v>40</v>
      </c>
      <c r="H11" s="8">
        <v>6</v>
      </c>
      <c r="I11" s="18" t="s">
        <v>124</v>
      </c>
    </row>
    <row r="12" spans="1:9" ht="15" customHeight="1" x14ac:dyDescent="0.25">
      <c r="A12" s="29">
        <v>46251</v>
      </c>
      <c r="B12" s="4" t="s">
        <v>136</v>
      </c>
      <c r="C12" s="4" t="s">
        <v>137</v>
      </c>
      <c r="D12" s="4" t="s">
        <v>138</v>
      </c>
      <c r="E12" s="4" t="s">
        <v>139</v>
      </c>
      <c r="F12" s="4" t="s">
        <v>140</v>
      </c>
      <c r="G12" s="4" t="s">
        <v>41</v>
      </c>
      <c r="H12" s="8">
        <v>3</v>
      </c>
      <c r="I12" s="4" t="s">
        <v>141</v>
      </c>
    </row>
    <row r="13" spans="1:9" ht="15" customHeight="1" x14ac:dyDescent="0.25">
      <c r="A13" s="29">
        <v>46251</v>
      </c>
      <c r="B13" s="4" t="s">
        <v>142</v>
      </c>
      <c r="C13" s="4" t="s">
        <v>143</v>
      </c>
      <c r="D13" s="4" t="s">
        <v>138</v>
      </c>
      <c r="E13" s="4" t="s">
        <v>144</v>
      </c>
      <c r="F13" s="4" t="s">
        <v>145</v>
      </c>
      <c r="G13" s="4" t="s">
        <v>41</v>
      </c>
      <c r="H13" s="8">
        <v>2</v>
      </c>
      <c r="I13" s="4" t="s">
        <v>146</v>
      </c>
    </row>
    <row r="14" spans="1:9" ht="15" customHeight="1" x14ac:dyDescent="0.25">
      <c r="A14" s="29">
        <v>46252</v>
      </c>
      <c r="B14" s="4" t="s">
        <v>149</v>
      </c>
      <c r="C14" s="4" t="s">
        <v>150</v>
      </c>
      <c r="D14" s="4" t="s">
        <v>138</v>
      </c>
      <c r="E14" s="4" t="s">
        <v>151</v>
      </c>
      <c r="F14" s="4" t="s">
        <v>152</v>
      </c>
      <c r="G14" s="4" t="s">
        <v>41</v>
      </c>
      <c r="H14" s="8">
        <v>9</v>
      </c>
      <c r="I14" s="4" t="s">
        <v>153</v>
      </c>
    </row>
    <row r="15" spans="1:9" ht="15" customHeight="1" x14ac:dyDescent="0.25">
      <c r="A15" s="29">
        <v>46252</v>
      </c>
      <c r="B15" s="4" t="s">
        <v>162</v>
      </c>
      <c r="C15" s="4" t="s">
        <v>163</v>
      </c>
      <c r="D15" s="4" t="s">
        <v>138</v>
      </c>
      <c r="E15" s="4" t="s">
        <v>144</v>
      </c>
      <c r="F15" s="4" t="s">
        <v>164</v>
      </c>
      <c r="G15" s="4" t="s">
        <v>41</v>
      </c>
      <c r="H15" s="8">
        <v>3</v>
      </c>
      <c r="I15" s="4" t="s">
        <v>165</v>
      </c>
    </row>
    <row r="16" spans="1:9" ht="15" customHeight="1" x14ac:dyDescent="0.25">
      <c r="A16" s="29">
        <v>46253</v>
      </c>
      <c r="B16" s="4" t="s">
        <v>173</v>
      </c>
      <c r="C16" s="4" t="s">
        <v>174</v>
      </c>
      <c r="D16" s="4" t="s">
        <v>138</v>
      </c>
      <c r="E16" s="4" t="s">
        <v>144</v>
      </c>
      <c r="F16" s="4" t="s">
        <v>175</v>
      </c>
      <c r="G16" s="4" t="s">
        <v>41</v>
      </c>
      <c r="H16" s="8">
        <v>6</v>
      </c>
      <c r="I16" s="4" t="s">
        <v>176</v>
      </c>
    </row>
    <row r="17" spans="1:9" ht="15" customHeight="1" x14ac:dyDescent="0.25">
      <c r="A17" s="29">
        <v>46253</v>
      </c>
      <c r="B17" s="4" t="s">
        <v>178</v>
      </c>
      <c r="C17" s="4" t="s">
        <v>179</v>
      </c>
      <c r="D17" s="4" t="s">
        <v>138</v>
      </c>
      <c r="E17" s="4" t="s">
        <v>180</v>
      </c>
      <c r="F17" s="4" t="s">
        <v>181</v>
      </c>
      <c r="G17" s="4" t="s">
        <v>41</v>
      </c>
      <c r="H17" s="8">
        <v>5</v>
      </c>
      <c r="I17" s="4" t="s">
        <v>182</v>
      </c>
    </row>
    <row r="18" spans="1:9" ht="15" customHeight="1" x14ac:dyDescent="0.25">
      <c r="A18" s="29">
        <v>46254</v>
      </c>
      <c r="B18" s="4" t="s">
        <v>203</v>
      </c>
      <c r="C18" s="4" t="s">
        <v>204</v>
      </c>
      <c r="D18" s="4" t="s">
        <v>138</v>
      </c>
      <c r="E18" s="4" t="s">
        <v>144</v>
      </c>
      <c r="F18" s="4" t="s">
        <v>205</v>
      </c>
      <c r="G18" s="4" t="s">
        <v>41</v>
      </c>
      <c r="H18" s="8">
        <v>5</v>
      </c>
      <c r="I18" s="4" t="s">
        <v>182</v>
      </c>
    </row>
    <row r="19" spans="1:9" ht="15" customHeight="1" x14ac:dyDescent="0.25">
      <c r="A19" s="29">
        <v>46258</v>
      </c>
      <c r="B19" s="4" t="s">
        <v>233</v>
      </c>
      <c r="C19" s="4" t="s">
        <v>234</v>
      </c>
      <c r="D19" s="4" t="s">
        <v>138</v>
      </c>
      <c r="E19" s="4" t="s">
        <v>144</v>
      </c>
      <c r="F19" s="4" t="s">
        <v>235</v>
      </c>
      <c r="G19" s="4" t="s">
        <v>43</v>
      </c>
      <c r="H19" s="8">
        <v>4</v>
      </c>
      <c r="I19" s="4" t="s">
        <v>236</v>
      </c>
    </row>
    <row r="20" spans="1:9" ht="15" customHeight="1" x14ac:dyDescent="0.25">
      <c r="A20" s="29">
        <v>46259</v>
      </c>
      <c r="B20" s="4" t="s">
        <v>258</v>
      </c>
      <c r="C20" s="4" t="s">
        <v>259</v>
      </c>
      <c r="D20" s="4" t="s">
        <v>138</v>
      </c>
      <c r="E20" s="4" t="s">
        <v>260</v>
      </c>
      <c r="F20" s="4" t="s">
        <v>261</v>
      </c>
      <c r="G20" s="4" t="s">
        <v>41</v>
      </c>
      <c r="H20" s="8">
        <v>3</v>
      </c>
      <c r="I20" s="4" t="s">
        <v>262</v>
      </c>
    </row>
    <row r="21" spans="1:9" ht="15" customHeight="1" x14ac:dyDescent="0.25">
      <c r="A21" s="29">
        <v>46259</v>
      </c>
      <c r="B21" s="4" t="s">
        <v>263</v>
      </c>
      <c r="C21" s="4" t="s">
        <v>264</v>
      </c>
      <c r="D21" s="4" t="s">
        <v>138</v>
      </c>
      <c r="E21" s="4" t="s">
        <v>265</v>
      </c>
      <c r="F21" s="4" t="s">
        <v>266</v>
      </c>
      <c r="G21" s="4" t="s">
        <v>41</v>
      </c>
      <c r="H21" s="8">
        <v>2</v>
      </c>
      <c r="I21" s="4" t="s">
        <v>267</v>
      </c>
    </row>
    <row r="22" spans="1:9" ht="15" customHeight="1" x14ac:dyDescent="0.25">
      <c r="A22" s="29">
        <v>46259</v>
      </c>
      <c r="B22" s="4" t="s">
        <v>268</v>
      </c>
      <c r="C22" s="4" t="s">
        <v>269</v>
      </c>
      <c r="D22" s="4" t="s">
        <v>138</v>
      </c>
      <c r="E22" s="4" t="s">
        <v>270</v>
      </c>
      <c r="F22" s="4" t="s">
        <v>271</v>
      </c>
      <c r="G22" s="4" t="s">
        <v>41</v>
      </c>
      <c r="H22" s="8">
        <v>2</v>
      </c>
      <c r="I22" s="4" t="s">
        <v>272</v>
      </c>
    </row>
    <row r="23" spans="1:9" ht="15" customHeight="1" x14ac:dyDescent="0.25">
      <c r="A23" s="29">
        <v>46259</v>
      </c>
      <c r="B23" s="4" t="s">
        <v>273</v>
      </c>
      <c r="C23" s="4" t="s">
        <v>274</v>
      </c>
      <c r="D23" s="4" t="s">
        <v>138</v>
      </c>
      <c r="E23" s="4" t="s">
        <v>265</v>
      </c>
      <c r="F23" s="4" t="s">
        <v>275</v>
      </c>
      <c r="G23" s="4" t="s">
        <v>43</v>
      </c>
      <c r="H23" s="8">
        <v>1</v>
      </c>
      <c r="I23" s="4" t="s">
        <v>223</v>
      </c>
    </row>
    <row r="24" spans="1:9" ht="15" customHeight="1" x14ac:dyDescent="0.25">
      <c r="A24" s="29">
        <v>46260</v>
      </c>
      <c r="B24" s="4" t="s">
        <v>289</v>
      </c>
      <c r="C24" s="4" t="s">
        <v>290</v>
      </c>
      <c r="D24" s="4" t="s">
        <v>138</v>
      </c>
      <c r="E24" s="4" t="s">
        <v>291</v>
      </c>
      <c r="F24" s="4" t="s">
        <v>292</v>
      </c>
      <c r="G24" s="4" t="s">
        <v>41</v>
      </c>
      <c r="H24" s="8">
        <v>3</v>
      </c>
      <c r="I24" s="4" t="s">
        <v>293</v>
      </c>
    </row>
    <row r="25" spans="1:9" ht="15" customHeight="1" x14ac:dyDescent="0.25">
      <c r="A25" s="29">
        <v>46260</v>
      </c>
      <c r="B25" s="4" t="s">
        <v>298</v>
      </c>
      <c r="C25" s="4" t="s">
        <v>299</v>
      </c>
      <c r="D25" s="4" t="s">
        <v>138</v>
      </c>
      <c r="E25" s="4" t="s">
        <v>300</v>
      </c>
      <c r="F25" s="4" t="s">
        <v>301</v>
      </c>
      <c r="G25" s="4" t="s">
        <v>41</v>
      </c>
      <c r="H25" s="8">
        <v>1</v>
      </c>
      <c r="I25" s="4" t="s">
        <v>302</v>
      </c>
    </row>
    <row r="26" spans="1:9" ht="15" customHeight="1" x14ac:dyDescent="0.25">
      <c r="A26" s="29">
        <v>46260</v>
      </c>
      <c r="B26" s="4" t="s">
        <v>303</v>
      </c>
      <c r="C26" s="4" t="s">
        <v>304</v>
      </c>
      <c r="D26" s="4" t="s">
        <v>138</v>
      </c>
      <c r="E26" s="4" t="s">
        <v>300</v>
      </c>
      <c r="F26" s="4" t="s">
        <v>305</v>
      </c>
      <c r="G26" s="4" t="s">
        <v>43</v>
      </c>
      <c r="H26" s="8">
        <v>1</v>
      </c>
      <c r="I26" s="4" t="s">
        <v>306</v>
      </c>
    </row>
    <row r="27" spans="1:9" ht="15" customHeight="1" x14ac:dyDescent="0.25">
      <c r="A27" s="29">
        <v>46260</v>
      </c>
      <c r="B27" s="4" t="s">
        <v>307</v>
      </c>
      <c r="C27" s="4" t="s">
        <v>308</v>
      </c>
      <c r="D27" s="4" t="s">
        <v>138</v>
      </c>
      <c r="E27" s="4" t="s">
        <v>260</v>
      </c>
      <c r="F27" s="4" t="s">
        <v>309</v>
      </c>
      <c r="G27" s="4" t="s">
        <v>43</v>
      </c>
      <c r="H27" s="8">
        <v>1</v>
      </c>
      <c r="I27" s="4" t="s">
        <v>310</v>
      </c>
    </row>
    <row r="28" spans="1:9" ht="15" customHeight="1" x14ac:dyDescent="0.25">
      <c r="A28" s="29">
        <v>46261</v>
      </c>
      <c r="B28" s="4" t="s">
        <v>313</v>
      </c>
      <c r="C28" s="4" t="s">
        <v>314</v>
      </c>
      <c r="D28" s="4" t="s">
        <v>315</v>
      </c>
      <c r="E28" s="4" t="s">
        <v>316</v>
      </c>
      <c r="F28" s="4" t="s">
        <v>317</v>
      </c>
      <c r="G28" s="4" t="s">
        <v>41</v>
      </c>
      <c r="H28" s="8">
        <v>5</v>
      </c>
      <c r="I28" s="4" t="s">
        <v>288</v>
      </c>
    </row>
    <row r="29" spans="1:9" ht="15" customHeight="1" x14ac:dyDescent="0.25">
      <c r="A29" s="29">
        <v>46261</v>
      </c>
      <c r="B29" s="4" t="s">
        <v>330</v>
      </c>
      <c r="C29" s="4" t="s">
        <v>331</v>
      </c>
      <c r="D29" s="4" t="s">
        <v>315</v>
      </c>
      <c r="E29" s="4" t="s">
        <v>316</v>
      </c>
      <c r="F29" s="4" t="s">
        <v>332</v>
      </c>
      <c r="G29" s="4" t="s">
        <v>41</v>
      </c>
      <c r="H29" s="8">
        <v>2</v>
      </c>
      <c r="I29" s="4" t="s">
        <v>297</v>
      </c>
    </row>
    <row r="30" spans="1:9" ht="15" customHeight="1" x14ac:dyDescent="0.25">
      <c r="A30" s="29">
        <v>46261</v>
      </c>
      <c r="B30" s="4" t="s">
        <v>333</v>
      </c>
      <c r="C30" s="4" t="s">
        <v>334</v>
      </c>
      <c r="D30" s="4" t="s">
        <v>315</v>
      </c>
      <c r="E30" s="4" t="s">
        <v>316</v>
      </c>
      <c r="F30" s="4" t="s">
        <v>335</v>
      </c>
      <c r="G30" s="4" t="s">
        <v>43</v>
      </c>
      <c r="H30" s="8">
        <v>2</v>
      </c>
      <c r="I30" s="4" t="s">
        <v>146</v>
      </c>
    </row>
    <row r="31" spans="1:9" ht="15" customHeight="1" x14ac:dyDescent="0.25">
      <c r="A31" s="29">
        <v>46262</v>
      </c>
      <c r="B31" s="4" t="s">
        <v>345</v>
      </c>
      <c r="C31" s="4" t="s">
        <v>346</v>
      </c>
      <c r="D31" s="4" t="s">
        <v>315</v>
      </c>
      <c r="E31" s="4" t="s">
        <v>347</v>
      </c>
      <c r="F31" s="4" t="s">
        <v>348</v>
      </c>
      <c r="G31" s="4" t="s">
        <v>41</v>
      </c>
      <c r="H31" s="8">
        <v>3</v>
      </c>
      <c r="I31" s="4" t="s">
        <v>240</v>
      </c>
    </row>
    <row r="32" spans="1:9" ht="15" customHeight="1" x14ac:dyDescent="0.25">
      <c r="A32" s="29">
        <v>46262</v>
      </c>
      <c r="B32" s="4" t="s">
        <v>354</v>
      </c>
      <c r="C32" s="4" t="s">
        <v>355</v>
      </c>
      <c r="D32" s="4" t="s">
        <v>315</v>
      </c>
      <c r="E32" s="4" t="s">
        <v>347</v>
      </c>
      <c r="F32" s="4" t="s">
        <v>356</v>
      </c>
      <c r="G32" s="4" t="s">
        <v>43</v>
      </c>
      <c r="H32" s="8">
        <v>1</v>
      </c>
      <c r="I32" s="4" t="s">
        <v>227</v>
      </c>
    </row>
    <row r="33" spans="1:9" ht="15" customHeight="1" x14ac:dyDescent="0.25">
      <c r="A33" s="29">
        <v>46265</v>
      </c>
      <c r="B33" s="4" t="s">
        <v>372</v>
      </c>
      <c r="C33" s="4" t="s">
        <v>373</v>
      </c>
      <c r="D33" s="4" t="s">
        <v>374</v>
      </c>
      <c r="E33" s="4" t="s">
        <v>375</v>
      </c>
      <c r="F33" s="4" t="s">
        <v>376</v>
      </c>
      <c r="G33" s="4" t="s">
        <v>41</v>
      </c>
      <c r="H33" s="8">
        <v>1</v>
      </c>
      <c r="I33" s="4" t="s">
        <v>306</v>
      </c>
    </row>
    <row r="34" spans="1:9" ht="15" customHeight="1" x14ac:dyDescent="0.25">
      <c r="A34" s="29">
        <v>46265</v>
      </c>
      <c r="B34" s="4" t="s">
        <v>377</v>
      </c>
      <c r="C34" s="4" t="s">
        <v>378</v>
      </c>
      <c r="D34" s="4" t="s">
        <v>374</v>
      </c>
      <c r="E34" s="4" t="s">
        <v>375</v>
      </c>
      <c r="F34" s="4" t="s">
        <v>376</v>
      </c>
      <c r="G34" s="4" t="s">
        <v>43</v>
      </c>
      <c r="H34" s="8">
        <v>1</v>
      </c>
      <c r="I34" s="4" t="s">
        <v>244</v>
      </c>
    </row>
    <row r="35" spans="1:9" ht="15" customHeight="1" x14ac:dyDescent="0.25">
      <c r="A35" s="29">
        <v>46266</v>
      </c>
      <c r="B35" s="4" t="s">
        <v>392</v>
      </c>
      <c r="C35" s="4" t="s">
        <v>393</v>
      </c>
      <c r="D35" s="4" t="s">
        <v>374</v>
      </c>
      <c r="E35" s="4" t="s">
        <v>394</v>
      </c>
      <c r="F35" s="4" t="s">
        <v>395</v>
      </c>
      <c r="G35" s="4" t="s">
        <v>41</v>
      </c>
      <c r="H35" s="8">
        <v>4</v>
      </c>
      <c r="I35" s="4" t="s">
        <v>344</v>
      </c>
    </row>
    <row r="36" spans="1:9" ht="15" customHeight="1" x14ac:dyDescent="0.25">
      <c r="A36" s="29">
        <v>46266</v>
      </c>
      <c r="B36" s="4" t="s">
        <v>396</v>
      </c>
      <c r="C36" s="4" t="s">
        <v>397</v>
      </c>
      <c r="D36" s="4" t="s">
        <v>374</v>
      </c>
      <c r="E36" s="4" t="s">
        <v>394</v>
      </c>
      <c r="F36" s="4" t="s">
        <v>398</v>
      </c>
      <c r="G36" s="4" t="s">
        <v>41</v>
      </c>
      <c r="H36" s="8">
        <v>3</v>
      </c>
      <c r="I36" s="4" t="s">
        <v>165</v>
      </c>
    </row>
    <row r="37" spans="1:9" ht="15" customHeight="1" x14ac:dyDescent="0.25">
      <c r="A37" s="29">
        <v>46266</v>
      </c>
      <c r="B37" s="4" t="s">
        <v>399</v>
      </c>
      <c r="C37" s="4" t="s">
        <v>400</v>
      </c>
      <c r="D37" s="4" t="s">
        <v>374</v>
      </c>
      <c r="E37" s="4" t="s">
        <v>394</v>
      </c>
      <c r="F37" s="4" t="s">
        <v>401</v>
      </c>
      <c r="G37" s="4" t="s">
        <v>43</v>
      </c>
      <c r="H37" s="8">
        <v>2</v>
      </c>
      <c r="I37" s="4" t="s">
        <v>353</v>
      </c>
    </row>
    <row r="38" spans="1:9" ht="15" customHeight="1" x14ac:dyDescent="0.25">
      <c r="A38" s="29">
        <v>46266</v>
      </c>
      <c r="B38" s="4" t="s">
        <v>402</v>
      </c>
      <c r="C38" s="4" t="s">
        <v>403</v>
      </c>
      <c r="D38" s="4" t="s">
        <v>374</v>
      </c>
      <c r="E38" s="4" t="s">
        <v>404</v>
      </c>
      <c r="F38" s="4" t="s">
        <v>405</v>
      </c>
      <c r="G38" s="4" t="s">
        <v>43</v>
      </c>
      <c r="H38" s="8">
        <v>1</v>
      </c>
      <c r="I38" s="4" t="s">
        <v>406</v>
      </c>
    </row>
    <row r="39" spans="1:9" ht="15" customHeight="1" x14ac:dyDescent="0.25">
      <c r="A39" s="29">
        <v>46267</v>
      </c>
      <c r="B39" s="4" t="s">
        <v>416</v>
      </c>
      <c r="C39" s="4" t="s">
        <v>417</v>
      </c>
      <c r="D39" s="4" t="s">
        <v>374</v>
      </c>
      <c r="E39" s="4" t="s">
        <v>418</v>
      </c>
      <c r="F39" s="4" t="s">
        <v>419</v>
      </c>
      <c r="G39" s="4" t="s">
        <v>41</v>
      </c>
      <c r="H39" s="8">
        <v>2</v>
      </c>
      <c r="I39" s="4" t="s">
        <v>420</v>
      </c>
    </row>
    <row r="40" spans="1:9" ht="15" customHeight="1" x14ac:dyDescent="0.25">
      <c r="A40" s="29">
        <v>46267</v>
      </c>
      <c r="B40" s="4" t="s">
        <v>421</v>
      </c>
      <c r="C40" s="4" t="s">
        <v>422</v>
      </c>
      <c r="D40" s="4" t="s">
        <v>374</v>
      </c>
      <c r="E40" s="4" t="s">
        <v>423</v>
      </c>
      <c r="F40" s="4" t="s">
        <v>424</v>
      </c>
      <c r="G40" s="4" t="s">
        <v>41</v>
      </c>
      <c r="H40" s="8">
        <v>1</v>
      </c>
      <c r="I40" s="4" t="s">
        <v>310</v>
      </c>
    </row>
    <row r="41" spans="1:9" ht="15" customHeight="1" x14ac:dyDescent="0.25">
      <c r="A41" s="29">
        <v>46267</v>
      </c>
      <c r="B41" s="4" t="s">
        <v>425</v>
      </c>
      <c r="C41" s="4" t="s">
        <v>426</v>
      </c>
      <c r="D41" s="4" t="s">
        <v>374</v>
      </c>
      <c r="E41" s="4" t="s">
        <v>427</v>
      </c>
      <c r="F41" s="4" t="s">
        <v>428</v>
      </c>
      <c r="G41" s="4" t="s">
        <v>41</v>
      </c>
      <c r="H41" s="8">
        <v>1</v>
      </c>
      <c r="I41" s="4" t="s">
        <v>429</v>
      </c>
    </row>
    <row r="42" spans="1:9" ht="15" customHeight="1" x14ac:dyDescent="0.25">
      <c r="A42" s="29">
        <v>46267</v>
      </c>
      <c r="B42" s="4" t="s">
        <v>430</v>
      </c>
      <c r="C42" s="4" t="s">
        <v>431</v>
      </c>
      <c r="D42" s="4" t="s">
        <v>374</v>
      </c>
      <c r="E42" s="4" t="s">
        <v>432</v>
      </c>
      <c r="F42" s="4" t="s">
        <v>433</v>
      </c>
      <c r="G42" s="4" t="s">
        <v>43</v>
      </c>
      <c r="H42" s="8">
        <v>1</v>
      </c>
      <c r="I42" s="4" t="s">
        <v>434</v>
      </c>
    </row>
    <row r="43" spans="1:9" ht="15" customHeight="1" x14ac:dyDescent="0.25">
      <c r="A43" s="29">
        <v>46272</v>
      </c>
      <c r="B43" s="4" t="s">
        <v>456</v>
      </c>
      <c r="C43" s="4" t="s">
        <v>457</v>
      </c>
      <c r="D43" s="4" t="s">
        <v>458</v>
      </c>
      <c r="E43" s="4" t="s">
        <v>459</v>
      </c>
      <c r="F43" s="4" t="s">
        <v>460</v>
      </c>
      <c r="G43" s="4" t="s">
        <v>41</v>
      </c>
      <c r="H43" s="8">
        <v>2</v>
      </c>
      <c r="I43" s="4" t="s">
        <v>146</v>
      </c>
    </row>
    <row r="44" spans="1:9" ht="15" customHeight="1" x14ac:dyDescent="0.25">
      <c r="A44" s="29">
        <v>46273</v>
      </c>
      <c r="B44" s="4" t="s">
        <v>474</v>
      </c>
      <c r="C44" s="4" t="s">
        <v>475</v>
      </c>
      <c r="D44" s="4" t="s">
        <v>458</v>
      </c>
      <c r="E44" s="4" t="s">
        <v>476</v>
      </c>
      <c r="F44" s="4" t="s">
        <v>477</v>
      </c>
      <c r="G44" s="4" t="s">
        <v>41</v>
      </c>
      <c r="H44" s="8">
        <v>3</v>
      </c>
      <c r="I44" s="4" t="s">
        <v>141</v>
      </c>
    </row>
    <row r="45" spans="1:9" ht="15" customHeight="1" x14ac:dyDescent="0.25">
      <c r="A45" s="29">
        <v>46273</v>
      </c>
      <c r="B45" s="4" t="s">
        <v>478</v>
      </c>
      <c r="C45" s="4" t="s">
        <v>479</v>
      </c>
      <c r="D45" s="4" t="s">
        <v>458</v>
      </c>
      <c r="E45" s="4" t="s">
        <v>480</v>
      </c>
      <c r="F45" s="4" t="s">
        <v>481</v>
      </c>
      <c r="G45" s="4" t="s">
        <v>41</v>
      </c>
      <c r="H45" s="8">
        <v>3</v>
      </c>
      <c r="I45" s="4" t="s">
        <v>240</v>
      </c>
    </row>
    <row r="46" spans="1:9" ht="15" customHeight="1" x14ac:dyDescent="0.25">
      <c r="A46" s="29">
        <v>46274</v>
      </c>
      <c r="B46" s="4" t="s">
        <v>497</v>
      </c>
      <c r="C46" s="4" t="s">
        <v>498</v>
      </c>
      <c r="D46" s="4" t="s">
        <v>458</v>
      </c>
      <c r="E46" s="4" t="s">
        <v>499</v>
      </c>
      <c r="F46" s="4" t="s">
        <v>500</v>
      </c>
      <c r="G46" s="4" t="s">
        <v>41</v>
      </c>
      <c r="H46" s="8">
        <v>5</v>
      </c>
      <c r="I46" s="4" t="s">
        <v>182</v>
      </c>
    </row>
    <row r="47" spans="1:9" ht="15" customHeight="1" x14ac:dyDescent="0.25">
      <c r="A47" s="29">
        <v>46274</v>
      </c>
      <c r="B47" s="4" t="s">
        <v>501</v>
      </c>
      <c r="C47" s="4" t="s">
        <v>502</v>
      </c>
      <c r="D47" s="4" t="s">
        <v>458</v>
      </c>
      <c r="E47" s="4" t="s">
        <v>503</v>
      </c>
      <c r="F47" s="4" t="s">
        <v>504</v>
      </c>
      <c r="G47" s="4" t="s">
        <v>41</v>
      </c>
      <c r="H47" s="8">
        <v>4</v>
      </c>
      <c r="I47" s="4" t="s">
        <v>415</v>
      </c>
    </row>
    <row r="48" spans="1:9" ht="15" customHeight="1" x14ac:dyDescent="0.25">
      <c r="A48" s="29">
        <v>46274</v>
      </c>
      <c r="B48" s="4" t="s">
        <v>509</v>
      </c>
      <c r="C48" s="4" t="s">
        <v>510</v>
      </c>
      <c r="D48" s="4" t="s">
        <v>458</v>
      </c>
      <c r="E48" s="4" t="s">
        <v>499</v>
      </c>
      <c r="F48" s="4" t="s">
        <v>511</v>
      </c>
      <c r="G48" s="4" t="s">
        <v>43</v>
      </c>
      <c r="H48" s="8">
        <v>2</v>
      </c>
      <c r="I48" s="4" t="s">
        <v>512</v>
      </c>
    </row>
    <row r="49" spans="1:9" ht="15" customHeight="1" x14ac:dyDescent="0.25">
      <c r="A49" s="29">
        <v>46275</v>
      </c>
      <c r="B49" s="4" t="s">
        <v>527</v>
      </c>
      <c r="C49" s="4" t="s">
        <v>528</v>
      </c>
      <c r="D49" s="4" t="s">
        <v>458</v>
      </c>
      <c r="E49" s="4" t="s">
        <v>499</v>
      </c>
      <c r="F49" s="4" t="s">
        <v>529</v>
      </c>
      <c r="G49" s="4" t="s">
        <v>41</v>
      </c>
      <c r="H49" s="8">
        <v>4</v>
      </c>
      <c r="I49" s="4" t="s">
        <v>391</v>
      </c>
    </row>
    <row r="50" spans="1:9" ht="15" customHeight="1" x14ac:dyDescent="0.25">
      <c r="A50" s="29">
        <v>46279</v>
      </c>
      <c r="B50" s="4" t="s">
        <v>535</v>
      </c>
      <c r="C50" s="4" t="s">
        <v>536</v>
      </c>
      <c r="D50" s="4" t="s">
        <v>537</v>
      </c>
      <c r="E50" s="4" t="s">
        <v>538</v>
      </c>
      <c r="F50" s="4" t="s">
        <v>539</v>
      </c>
      <c r="G50" s="4" t="s">
        <v>41</v>
      </c>
      <c r="H50" s="8">
        <v>2</v>
      </c>
      <c r="I50" s="4" t="s">
        <v>540</v>
      </c>
    </row>
    <row r="51" spans="1:9" ht="15" customHeight="1" x14ac:dyDescent="0.25">
      <c r="A51" s="29">
        <v>46279</v>
      </c>
      <c r="B51" s="4" t="s">
        <v>541</v>
      </c>
      <c r="C51" s="4" t="s">
        <v>542</v>
      </c>
      <c r="D51" s="4" t="s">
        <v>537</v>
      </c>
      <c r="E51" s="4" t="s">
        <v>543</v>
      </c>
      <c r="F51" s="4" t="s">
        <v>544</v>
      </c>
      <c r="G51" s="4" t="s">
        <v>41</v>
      </c>
      <c r="H51" s="8">
        <v>2</v>
      </c>
      <c r="I51" s="4" t="s">
        <v>297</v>
      </c>
    </row>
    <row r="52" spans="1:9" ht="15" customHeight="1" x14ac:dyDescent="0.25">
      <c r="A52" s="29">
        <v>46279</v>
      </c>
      <c r="B52" s="4" t="s">
        <v>549</v>
      </c>
      <c r="C52" s="4" t="s">
        <v>550</v>
      </c>
      <c r="D52" s="4" t="s">
        <v>537</v>
      </c>
      <c r="E52" s="4" t="s">
        <v>543</v>
      </c>
      <c r="F52" s="4" t="s">
        <v>551</v>
      </c>
      <c r="G52" s="4" t="s">
        <v>43</v>
      </c>
      <c r="H52" s="8">
        <v>2</v>
      </c>
      <c r="I52" s="4" t="s">
        <v>146</v>
      </c>
    </row>
    <row r="53" spans="1:9" ht="15" customHeight="1" x14ac:dyDescent="0.25">
      <c r="A53" s="29">
        <v>46280</v>
      </c>
      <c r="B53" s="4" t="s">
        <v>564</v>
      </c>
      <c r="C53" s="4" t="s">
        <v>565</v>
      </c>
      <c r="D53" s="4" t="s">
        <v>537</v>
      </c>
      <c r="E53" s="4" t="s">
        <v>566</v>
      </c>
      <c r="F53" s="4" t="s">
        <v>567</v>
      </c>
      <c r="G53" s="4" t="s">
        <v>41</v>
      </c>
      <c r="H53" s="8">
        <v>4</v>
      </c>
      <c r="I53" s="4" t="s">
        <v>568</v>
      </c>
    </row>
    <row r="54" spans="1:9" ht="15" customHeight="1" x14ac:dyDescent="0.25">
      <c r="A54" s="29">
        <v>46280</v>
      </c>
      <c r="B54" s="4" t="s">
        <v>569</v>
      </c>
      <c r="C54" s="4" t="s">
        <v>570</v>
      </c>
      <c r="D54" s="4" t="s">
        <v>537</v>
      </c>
      <c r="E54" s="4" t="s">
        <v>571</v>
      </c>
      <c r="F54" s="4" t="s">
        <v>572</v>
      </c>
      <c r="G54" s="4" t="s">
        <v>41</v>
      </c>
      <c r="H54" s="8">
        <v>1</v>
      </c>
      <c r="I54" s="4" t="s">
        <v>223</v>
      </c>
    </row>
    <row r="55" spans="1:9" ht="15" customHeight="1" x14ac:dyDescent="0.25">
      <c r="A55" s="29">
        <v>46280</v>
      </c>
      <c r="B55" s="4" t="s">
        <v>573</v>
      </c>
      <c r="C55" s="4" t="s">
        <v>574</v>
      </c>
      <c r="D55" s="4" t="s">
        <v>537</v>
      </c>
      <c r="E55" s="4" t="s">
        <v>566</v>
      </c>
      <c r="F55" s="4" t="s">
        <v>575</v>
      </c>
      <c r="G55" s="4" t="s">
        <v>43</v>
      </c>
      <c r="H55" s="8">
        <v>1</v>
      </c>
      <c r="I55" s="4" t="s">
        <v>302</v>
      </c>
    </row>
    <row r="56" spans="1:9" ht="15" customHeight="1" x14ac:dyDescent="0.25">
      <c r="A56" s="29">
        <v>46280</v>
      </c>
      <c r="B56" s="4" t="s">
        <v>1001</v>
      </c>
      <c r="C56" s="4" t="s">
        <v>577</v>
      </c>
      <c r="D56" s="4" t="s">
        <v>537</v>
      </c>
      <c r="E56" s="4" t="s">
        <v>578</v>
      </c>
      <c r="F56" s="4" t="s">
        <v>579</v>
      </c>
      <c r="G56" s="4" t="s">
        <v>43</v>
      </c>
      <c r="H56" s="8">
        <v>1</v>
      </c>
      <c r="I56" s="4" t="s">
        <v>310</v>
      </c>
    </row>
    <row r="57" spans="1:9" ht="15" customHeight="1" x14ac:dyDescent="0.25">
      <c r="A57" s="29">
        <v>46281</v>
      </c>
      <c r="B57" s="4" t="s">
        <v>1002</v>
      </c>
      <c r="C57" s="4" t="s">
        <v>581</v>
      </c>
      <c r="D57" s="4" t="s">
        <v>537</v>
      </c>
      <c r="E57" s="4" t="s">
        <v>582</v>
      </c>
      <c r="F57" s="4" t="s">
        <v>583</v>
      </c>
      <c r="G57" s="4" t="s">
        <v>43</v>
      </c>
      <c r="H57" s="8">
        <v>6</v>
      </c>
      <c r="I57" s="4" t="s">
        <v>584</v>
      </c>
    </row>
    <row r="58" spans="1:9" ht="15" customHeight="1" x14ac:dyDescent="0.25">
      <c r="A58" s="29">
        <v>46281</v>
      </c>
      <c r="B58" s="4" t="s">
        <v>592</v>
      </c>
      <c r="C58" s="4" t="s">
        <v>593</v>
      </c>
      <c r="D58" s="4" t="s">
        <v>537</v>
      </c>
      <c r="E58" s="4" t="s">
        <v>594</v>
      </c>
      <c r="F58" s="4" t="s">
        <v>595</v>
      </c>
      <c r="G58" s="4" t="s">
        <v>41</v>
      </c>
      <c r="H58" s="8">
        <v>2</v>
      </c>
      <c r="I58" s="4" t="s">
        <v>146</v>
      </c>
    </row>
    <row r="59" spans="1:9" ht="15" customHeight="1" x14ac:dyDescent="0.25">
      <c r="A59" s="29">
        <v>46282</v>
      </c>
      <c r="B59" s="4" t="s">
        <v>599</v>
      </c>
      <c r="C59" s="4" t="s">
        <v>600</v>
      </c>
      <c r="D59" s="4" t="s">
        <v>537</v>
      </c>
      <c r="E59" s="4" t="s">
        <v>601</v>
      </c>
      <c r="F59" s="4" t="s">
        <v>602</v>
      </c>
      <c r="G59" s="4" t="s">
        <v>40</v>
      </c>
      <c r="H59" s="8">
        <v>7</v>
      </c>
      <c r="I59" s="4" t="s">
        <v>603</v>
      </c>
    </row>
    <row r="60" spans="1:9" ht="15" customHeight="1" x14ac:dyDescent="0.25">
      <c r="A60" s="29">
        <v>46282</v>
      </c>
      <c r="B60" s="4" t="s">
        <v>604</v>
      </c>
      <c r="C60" s="4" t="s">
        <v>605</v>
      </c>
      <c r="D60" s="4" t="s">
        <v>537</v>
      </c>
      <c r="E60" s="4" t="s">
        <v>606</v>
      </c>
      <c r="F60" s="4" t="s">
        <v>607</v>
      </c>
      <c r="G60" s="4" t="s">
        <v>40</v>
      </c>
      <c r="H60" s="8">
        <v>3</v>
      </c>
      <c r="I60" s="4" t="s">
        <v>262</v>
      </c>
    </row>
    <row r="61" spans="1:9" ht="15" customHeight="1" x14ac:dyDescent="0.25">
      <c r="A61" s="29">
        <v>46282</v>
      </c>
      <c r="B61" s="4" t="s">
        <v>616</v>
      </c>
      <c r="C61" s="4" t="s">
        <v>617</v>
      </c>
      <c r="D61" s="4" t="s">
        <v>537</v>
      </c>
      <c r="E61" s="4" t="s">
        <v>594</v>
      </c>
      <c r="F61" s="4" t="s">
        <v>618</v>
      </c>
      <c r="G61" s="4" t="s">
        <v>43</v>
      </c>
      <c r="H61" s="8">
        <v>1</v>
      </c>
      <c r="I61" s="4" t="s">
        <v>310</v>
      </c>
    </row>
    <row r="62" spans="1:9" ht="15" customHeight="1" x14ac:dyDescent="0.25">
      <c r="A62" s="29">
        <v>46283</v>
      </c>
      <c r="B62" s="4" t="s">
        <v>619</v>
      </c>
      <c r="C62" s="4" t="s">
        <v>620</v>
      </c>
      <c r="D62" s="4" t="s">
        <v>537</v>
      </c>
      <c r="E62" s="4" t="s">
        <v>621</v>
      </c>
      <c r="F62" s="4" t="s">
        <v>622</v>
      </c>
      <c r="G62" s="4" t="s">
        <v>41</v>
      </c>
      <c r="H62" s="8">
        <v>2</v>
      </c>
      <c r="I62" s="4" t="s">
        <v>267</v>
      </c>
    </row>
    <row r="63" spans="1:9" ht="15" customHeight="1" x14ac:dyDescent="0.25">
      <c r="A63" s="29">
        <v>46283</v>
      </c>
      <c r="B63" s="4" t="s">
        <v>623</v>
      </c>
      <c r="C63" s="4" t="s">
        <v>624</v>
      </c>
      <c r="D63" s="4" t="s">
        <v>537</v>
      </c>
      <c r="E63" s="4" t="s">
        <v>621</v>
      </c>
      <c r="F63" s="4" t="s">
        <v>625</v>
      </c>
      <c r="G63" s="4" t="s">
        <v>41</v>
      </c>
      <c r="H63" s="8">
        <v>2</v>
      </c>
      <c r="I63" s="4" t="s">
        <v>540</v>
      </c>
    </row>
    <row r="64" spans="1:9" ht="15" customHeight="1" x14ac:dyDescent="0.25">
      <c r="A64" s="29">
        <v>46283</v>
      </c>
      <c r="B64" s="4" t="s">
        <v>626</v>
      </c>
      <c r="C64" s="4" t="s">
        <v>627</v>
      </c>
      <c r="D64" s="4" t="s">
        <v>537</v>
      </c>
      <c r="E64" s="4" t="s">
        <v>621</v>
      </c>
      <c r="F64" s="4" t="s">
        <v>628</v>
      </c>
      <c r="G64" s="4" t="s">
        <v>41</v>
      </c>
      <c r="H64" s="8">
        <v>2</v>
      </c>
      <c r="I64" s="4" t="s">
        <v>297</v>
      </c>
    </row>
    <row r="65" spans="1:9" ht="15" customHeight="1" x14ac:dyDescent="0.25">
      <c r="A65" s="29">
        <v>46287</v>
      </c>
      <c r="B65" s="4" t="s">
        <v>643</v>
      </c>
      <c r="C65" s="4" t="s">
        <v>644</v>
      </c>
      <c r="D65" s="4" t="s">
        <v>645</v>
      </c>
      <c r="E65" s="4" t="s">
        <v>646</v>
      </c>
      <c r="F65" s="4" t="s">
        <v>647</v>
      </c>
      <c r="G65" s="4" t="s">
        <v>41</v>
      </c>
      <c r="H65" s="8">
        <v>6</v>
      </c>
      <c r="I65" s="4" t="s">
        <v>135</v>
      </c>
    </row>
    <row r="66" spans="1:9" ht="15" customHeight="1" x14ac:dyDescent="0.25">
      <c r="A66" s="29">
        <v>46287</v>
      </c>
      <c r="B66" s="4" t="s">
        <v>654</v>
      </c>
      <c r="C66" s="4" t="s">
        <v>655</v>
      </c>
      <c r="D66" s="4" t="s">
        <v>645</v>
      </c>
      <c r="E66" s="4" t="s">
        <v>656</v>
      </c>
      <c r="F66" s="4" t="s">
        <v>657</v>
      </c>
      <c r="G66" s="4" t="s">
        <v>41</v>
      </c>
      <c r="H66" s="8">
        <v>2</v>
      </c>
      <c r="I66" s="4" t="s">
        <v>658</v>
      </c>
    </row>
    <row r="67" spans="1:9" ht="15" customHeight="1" x14ac:dyDescent="0.25">
      <c r="A67" s="29">
        <v>46288</v>
      </c>
      <c r="B67" s="4" t="s">
        <v>672</v>
      </c>
      <c r="C67" s="4" t="s">
        <v>673</v>
      </c>
      <c r="D67" s="4" t="s">
        <v>645</v>
      </c>
      <c r="E67" s="4" t="s">
        <v>674</v>
      </c>
      <c r="F67" s="4" t="s">
        <v>675</v>
      </c>
      <c r="G67" s="4" t="s">
        <v>41</v>
      </c>
      <c r="H67" s="8">
        <v>4</v>
      </c>
      <c r="I67" s="4" t="s">
        <v>676</v>
      </c>
    </row>
    <row r="68" spans="1:9" ht="15" customHeight="1" x14ac:dyDescent="0.25">
      <c r="A68" s="29">
        <v>46288</v>
      </c>
      <c r="B68" s="4" t="s">
        <v>684</v>
      </c>
      <c r="C68" s="4" t="s">
        <v>685</v>
      </c>
      <c r="D68" s="4" t="s">
        <v>645</v>
      </c>
      <c r="E68" s="4" t="s">
        <v>674</v>
      </c>
      <c r="F68" s="4" t="s">
        <v>686</v>
      </c>
      <c r="G68" s="4" t="s">
        <v>43</v>
      </c>
      <c r="H68" s="8">
        <v>1</v>
      </c>
      <c r="I68" s="4" t="s">
        <v>306</v>
      </c>
    </row>
    <row r="69" spans="1:9" ht="15" customHeight="1" x14ac:dyDescent="0.25">
      <c r="A69" s="29">
        <v>46293</v>
      </c>
      <c r="B69" s="4" t="s">
        <v>707</v>
      </c>
      <c r="C69" s="4" t="s">
        <v>708</v>
      </c>
      <c r="D69" s="4" t="s">
        <v>537</v>
      </c>
      <c r="E69" s="4" t="s">
        <v>621</v>
      </c>
      <c r="F69" s="4" t="s">
        <v>709</v>
      </c>
      <c r="G69" s="4" t="s">
        <v>41</v>
      </c>
      <c r="H69" s="8">
        <v>5</v>
      </c>
      <c r="I69" s="4" t="s">
        <v>710</v>
      </c>
    </row>
    <row r="70" spans="1:9" ht="15" customHeight="1" x14ac:dyDescent="0.25">
      <c r="A70" s="29">
        <v>46293</v>
      </c>
      <c r="B70" s="4" t="s">
        <v>720</v>
      </c>
      <c r="C70" s="4" t="s">
        <v>721</v>
      </c>
      <c r="D70" s="4" t="s">
        <v>537</v>
      </c>
      <c r="E70" s="4" t="s">
        <v>621</v>
      </c>
      <c r="F70" s="4" t="s">
        <v>722</v>
      </c>
      <c r="G70" s="4" t="s">
        <v>43</v>
      </c>
      <c r="H70" s="8">
        <v>2</v>
      </c>
      <c r="I70" s="4" t="s">
        <v>146</v>
      </c>
    </row>
    <row r="71" spans="1:9" ht="15" customHeight="1" x14ac:dyDescent="0.25">
      <c r="A71" s="29">
        <v>46294</v>
      </c>
      <c r="B71" s="4" t="s">
        <v>735</v>
      </c>
      <c r="C71" s="4" t="s">
        <v>736</v>
      </c>
      <c r="D71" s="4" t="s">
        <v>537</v>
      </c>
      <c r="E71" s="4" t="s">
        <v>621</v>
      </c>
      <c r="F71" s="4" t="s">
        <v>737</v>
      </c>
      <c r="G71" s="4" t="s">
        <v>43</v>
      </c>
      <c r="H71" s="8">
        <v>6</v>
      </c>
      <c r="I71" s="4" t="s">
        <v>584</v>
      </c>
    </row>
    <row r="72" spans="1:9" ht="15" customHeight="1" x14ac:dyDescent="0.25">
      <c r="A72" s="29">
        <v>46294</v>
      </c>
      <c r="B72" s="4" t="s">
        <v>738</v>
      </c>
      <c r="C72" s="4" t="s">
        <v>739</v>
      </c>
      <c r="D72" s="4" t="s">
        <v>537</v>
      </c>
      <c r="E72" s="4" t="s">
        <v>621</v>
      </c>
      <c r="F72" s="4" t="s">
        <v>740</v>
      </c>
      <c r="G72" s="4" t="s">
        <v>43</v>
      </c>
      <c r="H72" s="8">
        <v>3</v>
      </c>
      <c r="I72" s="4" t="s">
        <v>420</v>
      </c>
    </row>
    <row r="73" spans="1:9" ht="15" customHeight="1" x14ac:dyDescent="0.25">
      <c r="A73" s="29">
        <v>46294</v>
      </c>
      <c r="B73" s="4" t="s">
        <v>752</v>
      </c>
      <c r="C73" s="4" t="s">
        <v>753</v>
      </c>
      <c r="D73" s="4" t="s">
        <v>537</v>
      </c>
      <c r="E73" s="4" t="s">
        <v>621</v>
      </c>
      <c r="F73" s="4" t="s">
        <v>754</v>
      </c>
      <c r="G73" s="4" t="s">
        <v>43</v>
      </c>
      <c r="H73" s="8">
        <v>1</v>
      </c>
      <c r="I73" s="4" t="s">
        <v>703</v>
      </c>
    </row>
    <row r="74" spans="1:9" ht="15" customHeight="1" x14ac:dyDescent="0.25">
      <c r="A74" s="29">
        <v>46294</v>
      </c>
      <c r="B74" s="4" t="s">
        <v>755</v>
      </c>
      <c r="C74" s="4" t="s">
        <v>756</v>
      </c>
      <c r="D74" s="4" t="s">
        <v>537</v>
      </c>
      <c r="E74" s="4" t="s">
        <v>1015</v>
      </c>
      <c r="F74" s="4" t="s">
        <v>757</v>
      </c>
      <c r="G74" s="4" t="s">
        <v>43</v>
      </c>
      <c r="H74" s="8">
        <v>1</v>
      </c>
      <c r="I74" s="4" t="s">
        <v>406</v>
      </c>
    </row>
    <row r="75" spans="1:9" ht="15" customHeight="1" x14ac:dyDescent="0.25">
      <c r="A75" s="29">
        <v>46295</v>
      </c>
      <c r="B75" s="4" t="s">
        <v>768</v>
      </c>
      <c r="C75" s="4" t="s">
        <v>769</v>
      </c>
      <c r="D75" s="4" t="s">
        <v>537</v>
      </c>
      <c r="E75" s="4" t="s">
        <v>770</v>
      </c>
      <c r="F75" s="4" t="s">
        <v>771</v>
      </c>
      <c r="G75" s="4" t="s">
        <v>40</v>
      </c>
      <c r="H75" s="8">
        <v>6</v>
      </c>
      <c r="I75" s="4" t="s">
        <v>135</v>
      </c>
    </row>
    <row r="76" spans="1:9" ht="15" customHeight="1" x14ac:dyDescent="0.25">
      <c r="A76" s="29">
        <v>46295</v>
      </c>
      <c r="B76" s="4" t="s">
        <v>1003</v>
      </c>
      <c r="C76" s="4" t="s">
        <v>780</v>
      </c>
      <c r="D76" s="4" t="s">
        <v>537</v>
      </c>
      <c r="E76" s="4" t="s">
        <v>582</v>
      </c>
      <c r="F76" s="4" t="s">
        <v>781</v>
      </c>
      <c r="G76" s="4" t="s">
        <v>43</v>
      </c>
      <c r="H76" s="8">
        <v>3</v>
      </c>
      <c r="I76" s="4" t="s">
        <v>782</v>
      </c>
    </row>
    <row r="77" spans="1:9" ht="15" customHeight="1" x14ac:dyDescent="0.25">
      <c r="A77" s="29">
        <v>46300</v>
      </c>
      <c r="B77" s="4" t="s">
        <v>828</v>
      </c>
      <c r="C77" s="4" t="s">
        <v>829</v>
      </c>
      <c r="D77" s="4" t="s">
        <v>537</v>
      </c>
      <c r="E77" s="4" t="s">
        <v>830</v>
      </c>
      <c r="F77" s="4" t="s">
        <v>831</v>
      </c>
      <c r="G77" s="4" t="s">
        <v>41</v>
      </c>
      <c r="H77" s="8">
        <v>2</v>
      </c>
      <c r="I77" s="4" t="s">
        <v>272</v>
      </c>
    </row>
    <row r="78" spans="1:9" ht="15" customHeight="1" x14ac:dyDescent="0.25">
      <c r="A78" s="29">
        <v>46300</v>
      </c>
      <c r="B78" s="4" t="s">
        <v>832</v>
      </c>
      <c r="C78" s="4" t="s">
        <v>833</v>
      </c>
      <c r="D78" s="4" t="s">
        <v>537</v>
      </c>
      <c r="E78" s="4" t="s">
        <v>834</v>
      </c>
      <c r="F78" s="4" t="s">
        <v>835</v>
      </c>
      <c r="G78" s="4" t="s">
        <v>43</v>
      </c>
      <c r="H78" s="8">
        <v>1</v>
      </c>
      <c r="I78" s="4" t="s">
        <v>302</v>
      </c>
    </row>
    <row r="79" spans="1:9" ht="15" customHeight="1" x14ac:dyDescent="0.25">
      <c r="A79" s="29">
        <v>46300</v>
      </c>
      <c r="B79" s="4" t="s">
        <v>836</v>
      </c>
      <c r="C79" s="4" t="s">
        <v>837</v>
      </c>
      <c r="D79" s="4" t="s">
        <v>537</v>
      </c>
      <c r="E79" s="4" t="s">
        <v>830</v>
      </c>
      <c r="F79" s="4" t="s">
        <v>838</v>
      </c>
      <c r="G79" s="4" t="s">
        <v>43</v>
      </c>
      <c r="H79" s="8">
        <v>1</v>
      </c>
      <c r="I79" s="4" t="s">
        <v>306</v>
      </c>
    </row>
    <row r="80" spans="1:9" ht="15" customHeight="1" x14ac:dyDescent="0.25">
      <c r="A80" s="29">
        <v>46301</v>
      </c>
      <c r="B80" s="4" t="s">
        <v>850</v>
      </c>
      <c r="C80" s="4" t="s">
        <v>851</v>
      </c>
      <c r="D80" s="4" t="s">
        <v>537</v>
      </c>
      <c r="E80" s="4" t="s">
        <v>834</v>
      </c>
      <c r="F80" s="4" t="s">
        <v>852</v>
      </c>
      <c r="G80" s="4" t="s">
        <v>41</v>
      </c>
      <c r="H80" s="8">
        <v>2</v>
      </c>
      <c r="I80" s="4" t="s">
        <v>267</v>
      </c>
    </row>
    <row r="81" spans="1:9" ht="15" customHeight="1" x14ac:dyDescent="0.25">
      <c r="A81" s="29">
        <v>46301</v>
      </c>
      <c r="B81" s="4" t="s">
        <v>853</v>
      </c>
      <c r="C81" s="4" t="s">
        <v>854</v>
      </c>
      <c r="D81" s="4" t="s">
        <v>855</v>
      </c>
      <c r="E81" s="4" t="s">
        <v>856</v>
      </c>
      <c r="F81" s="4" t="s">
        <v>857</v>
      </c>
      <c r="G81" s="4" t="s">
        <v>41</v>
      </c>
      <c r="H81" s="8">
        <v>2</v>
      </c>
      <c r="I81" s="4" t="s">
        <v>371</v>
      </c>
    </row>
    <row r="82" spans="1:9" ht="15" customHeight="1" x14ac:dyDescent="0.25">
      <c r="A82" s="29">
        <v>46301</v>
      </c>
      <c r="B82" s="4" t="s">
        <v>861</v>
      </c>
      <c r="C82" s="4" t="s">
        <v>862</v>
      </c>
      <c r="D82" s="4" t="s">
        <v>537</v>
      </c>
      <c r="E82" s="4" t="s">
        <v>863</v>
      </c>
      <c r="F82" s="4" t="s">
        <v>864</v>
      </c>
      <c r="G82" s="4" t="s">
        <v>41</v>
      </c>
      <c r="H82" s="8">
        <v>1</v>
      </c>
      <c r="I82" s="4" t="s">
        <v>96</v>
      </c>
    </row>
    <row r="83" spans="1:9" ht="15" customHeight="1" x14ac:dyDescent="0.25">
      <c r="A83" s="29">
        <v>46302</v>
      </c>
      <c r="B83" s="4" t="s">
        <v>865</v>
      </c>
      <c r="C83" s="4" t="s">
        <v>866</v>
      </c>
      <c r="D83" s="4" t="s">
        <v>855</v>
      </c>
      <c r="E83" s="4" t="s">
        <v>867</v>
      </c>
      <c r="F83" s="4" t="s">
        <v>868</v>
      </c>
      <c r="G83" s="4" t="s">
        <v>41</v>
      </c>
      <c r="H83" s="8">
        <v>8</v>
      </c>
      <c r="I83" s="4" t="s">
        <v>869</v>
      </c>
    </row>
    <row r="84" spans="1:9" ht="15" customHeight="1" x14ac:dyDescent="0.25">
      <c r="A84" s="29">
        <v>46302</v>
      </c>
      <c r="B84" s="4" t="s">
        <v>873</v>
      </c>
      <c r="C84" s="4" t="s">
        <v>874</v>
      </c>
      <c r="D84" s="4" t="s">
        <v>855</v>
      </c>
      <c r="E84" s="4" t="s">
        <v>867</v>
      </c>
      <c r="F84" s="4" t="s">
        <v>875</v>
      </c>
      <c r="G84" s="4" t="s">
        <v>41</v>
      </c>
      <c r="H84" s="8">
        <v>3</v>
      </c>
      <c r="I84" s="4" t="s">
        <v>876</v>
      </c>
    </row>
    <row r="85" spans="1:9" ht="15" customHeight="1" x14ac:dyDescent="0.25">
      <c r="A85" s="29">
        <v>46303</v>
      </c>
      <c r="B85" s="4" t="s">
        <v>887</v>
      </c>
      <c r="C85" s="4" t="s">
        <v>888</v>
      </c>
      <c r="D85" s="4" t="s">
        <v>855</v>
      </c>
      <c r="E85" s="4" t="s">
        <v>867</v>
      </c>
      <c r="F85" s="4" t="s">
        <v>889</v>
      </c>
      <c r="G85" s="4" t="s">
        <v>41</v>
      </c>
      <c r="H85" s="8">
        <v>6</v>
      </c>
      <c r="I85" s="4" t="s">
        <v>584</v>
      </c>
    </row>
    <row r="86" spans="1:9" ht="15" customHeight="1" x14ac:dyDescent="0.25">
      <c r="A86" s="29">
        <v>46303</v>
      </c>
      <c r="B86" s="4" t="s">
        <v>893</v>
      </c>
      <c r="C86" s="4" t="s">
        <v>894</v>
      </c>
      <c r="D86" s="4" t="s">
        <v>855</v>
      </c>
      <c r="E86" s="4" t="s">
        <v>867</v>
      </c>
      <c r="F86" s="4" t="s">
        <v>895</v>
      </c>
      <c r="G86" s="4" t="s">
        <v>43</v>
      </c>
      <c r="H86" s="8">
        <v>1</v>
      </c>
      <c r="I86" s="4" t="s">
        <v>306</v>
      </c>
    </row>
    <row r="87" spans="1:9" ht="15" customHeight="1" x14ac:dyDescent="0.25">
      <c r="A87" s="29">
        <v>46303</v>
      </c>
      <c r="B87" s="4" t="s">
        <v>896</v>
      </c>
      <c r="C87" s="4" t="s">
        <v>867</v>
      </c>
      <c r="D87" s="4" t="s">
        <v>855</v>
      </c>
      <c r="E87" s="4" t="s">
        <v>867</v>
      </c>
      <c r="F87" s="4" t="s">
        <v>889</v>
      </c>
      <c r="G87" s="4" t="s">
        <v>42</v>
      </c>
      <c r="H87" s="8">
        <v>2</v>
      </c>
      <c r="I87" s="4" t="s">
        <v>272</v>
      </c>
    </row>
    <row r="88" spans="1:9" ht="15" customHeight="1" x14ac:dyDescent="0.25">
      <c r="A88" s="29">
        <v>46304</v>
      </c>
      <c r="B88" s="4" t="s">
        <v>897</v>
      </c>
      <c r="C88" s="4" t="s">
        <v>898</v>
      </c>
      <c r="D88" s="4" t="s">
        <v>855</v>
      </c>
      <c r="E88" s="4" t="s">
        <v>867</v>
      </c>
      <c r="F88" s="4" t="s">
        <v>899</v>
      </c>
      <c r="G88" s="4" t="s">
        <v>41</v>
      </c>
      <c r="H88" s="8">
        <v>5</v>
      </c>
      <c r="I88" s="4" t="s">
        <v>182</v>
      </c>
    </row>
    <row r="89" spans="1:9" s="35" customFormat="1" ht="15" customHeight="1" x14ac:dyDescent="0.25">
      <c r="A89" s="41">
        <v>46308</v>
      </c>
      <c r="B89" s="31" t="s">
        <v>905</v>
      </c>
      <c r="C89" s="31" t="s">
        <v>906</v>
      </c>
      <c r="D89" s="31" t="s">
        <v>56</v>
      </c>
      <c r="E89" s="31" t="s">
        <v>906</v>
      </c>
      <c r="F89" s="31" t="s">
        <v>907</v>
      </c>
      <c r="G89" s="31" t="s">
        <v>42</v>
      </c>
      <c r="H89" s="32">
        <v>4</v>
      </c>
      <c r="I89" s="33" t="s">
        <v>59</v>
      </c>
    </row>
    <row r="90" spans="1:9" s="35" customFormat="1" ht="15" customHeight="1" x14ac:dyDescent="0.25">
      <c r="A90" s="41">
        <v>46308</v>
      </c>
      <c r="B90" s="31" t="s">
        <v>908</v>
      </c>
      <c r="C90" s="31" t="s">
        <v>909</v>
      </c>
      <c r="D90" s="31" t="s">
        <v>56</v>
      </c>
      <c r="E90" s="31" t="s">
        <v>910</v>
      </c>
      <c r="F90" s="31" t="s">
        <v>911</v>
      </c>
      <c r="G90" s="31" t="s">
        <v>41</v>
      </c>
      <c r="H90" s="32">
        <v>2</v>
      </c>
      <c r="I90" s="33" t="s">
        <v>124</v>
      </c>
    </row>
    <row r="91" spans="1:9" s="35" customFormat="1" ht="15" customHeight="1" x14ac:dyDescent="0.25">
      <c r="A91" s="41">
        <v>46308</v>
      </c>
      <c r="B91" s="31" t="s">
        <v>919</v>
      </c>
      <c r="C91" s="31" t="s">
        <v>920</v>
      </c>
      <c r="D91" s="31" t="s">
        <v>56</v>
      </c>
      <c r="E91" s="31" t="s">
        <v>921</v>
      </c>
      <c r="F91" s="31" t="s">
        <v>922</v>
      </c>
      <c r="G91" s="31" t="s">
        <v>41</v>
      </c>
      <c r="H91" s="32">
        <v>1</v>
      </c>
      <c r="I91" s="33" t="s">
        <v>521</v>
      </c>
    </row>
    <row r="92" spans="1:9" s="35" customFormat="1" ht="15" customHeight="1" x14ac:dyDescent="0.25">
      <c r="A92" s="41">
        <v>46309</v>
      </c>
      <c r="B92" s="31" t="s">
        <v>932</v>
      </c>
      <c r="C92" s="31" t="s">
        <v>933</v>
      </c>
      <c r="D92" s="31" t="s">
        <v>56</v>
      </c>
      <c r="E92" s="31" t="s">
        <v>57</v>
      </c>
      <c r="F92" s="31" t="s">
        <v>934</v>
      </c>
      <c r="G92" s="31" t="s">
        <v>43</v>
      </c>
      <c r="H92" s="32">
        <v>1</v>
      </c>
      <c r="I92" s="33" t="s">
        <v>112</v>
      </c>
    </row>
    <row r="93" spans="1:9" s="35" customFormat="1" ht="15" customHeight="1" x14ac:dyDescent="0.25">
      <c r="A93" s="41">
        <v>46309</v>
      </c>
      <c r="B93" s="31" t="s">
        <v>923</v>
      </c>
      <c r="C93" s="31" t="s">
        <v>906</v>
      </c>
      <c r="D93" s="31" t="s">
        <v>56</v>
      </c>
      <c r="E93" s="31" t="s">
        <v>906</v>
      </c>
      <c r="F93" s="31" t="s">
        <v>924</v>
      </c>
      <c r="G93" s="31" t="s">
        <v>40</v>
      </c>
      <c r="H93" s="32">
        <v>6</v>
      </c>
      <c r="I93" s="33" t="s">
        <v>632</v>
      </c>
    </row>
    <row r="94" spans="1:9" s="35" customFormat="1" ht="15" customHeight="1" x14ac:dyDescent="0.25">
      <c r="A94" s="41">
        <v>46310</v>
      </c>
      <c r="B94" s="31" t="s">
        <v>935</v>
      </c>
      <c r="C94" s="31" t="s">
        <v>936</v>
      </c>
      <c r="D94" s="31" t="s">
        <v>56</v>
      </c>
      <c r="E94" s="31" t="s">
        <v>57</v>
      </c>
      <c r="F94" s="31" t="s">
        <v>937</v>
      </c>
      <c r="G94" s="31" t="s">
        <v>43</v>
      </c>
      <c r="H94" s="32">
        <v>5</v>
      </c>
      <c r="I94" s="33" t="s">
        <v>938</v>
      </c>
    </row>
    <row r="95" spans="1:9" s="35" customFormat="1" ht="15" customHeight="1" x14ac:dyDescent="0.25">
      <c r="A95" s="41">
        <v>46310</v>
      </c>
      <c r="B95" s="31" t="s">
        <v>939</v>
      </c>
      <c r="C95" s="31" t="s">
        <v>940</v>
      </c>
      <c r="D95" s="31" t="s">
        <v>56</v>
      </c>
      <c r="E95" s="31" t="s">
        <v>57</v>
      </c>
      <c r="F95" s="31" t="s">
        <v>941</v>
      </c>
      <c r="G95" s="31" t="s">
        <v>43</v>
      </c>
      <c r="H95" s="32">
        <v>2</v>
      </c>
      <c r="I95" s="33" t="s">
        <v>124</v>
      </c>
    </row>
    <row r="96" spans="1:9" s="35" customFormat="1" ht="15" customHeight="1" x14ac:dyDescent="0.25">
      <c r="A96" s="41">
        <v>46315</v>
      </c>
      <c r="B96" s="31" t="s">
        <v>962</v>
      </c>
      <c r="C96" s="31" t="s">
        <v>963</v>
      </c>
      <c r="D96" s="31" t="s">
        <v>56</v>
      </c>
      <c r="E96" s="31" t="s">
        <v>57</v>
      </c>
      <c r="F96" s="31" t="s">
        <v>964</v>
      </c>
      <c r="G96" s="31" t="s">
        <v>43</v>
      </c>
      <c r="H96" s="32">
        <v>3</v>
      </c>
      <c r="I96" s="33" t="s">
        <v>78</v>
      </c>
    </row>
    <row r="97" spans="1:9" s="35" customFormat="1" ht="15" customHeight="1" x14ac:dyDescent="0.25">
      <c r="A97" s="41">
        <v>46315</v>
      </c>
      <c r="B97" s="31" t="s">
        <v>965</v>
      </c>
      <c r="C97" s="31" t="s">
        <v>966</v>
      </c>
      <c r="D97" s="31" t="s">
        <v>56</v>
      </c>
      <c r="E97" s="31" t="s">
        <v>57</v>
      </c>
      <c r="F97" s="31" t="s">
        <v>967</v>
      </c>
      <c r="G97" s="31" t="s">
        <v>41</v>
      </c>
      <c r="H97" s="32">
        <v>1</v>
      </c>
      <c r="I97" s="33" t="s">
        <v>812</v>
      </c>
    </row>
    <row r="98" spans="1:9" s="35" customFormat="1" ht="15" customHeight="1" x14ac:dyDescent="0.25">
      <c r="A98" s="41">
        <v>46315</v>
      </c>
      <c r="B98" s="31" t="s">
        <v>953</v>
      </c>
      <c r="C98" s="31" t="s">
        <v>954</v>
      </c>
      <c r="D98" s="31" t="s">
        <v>56</v>
      </c>
      <c r="E98" s="31" t="s">
        <v>57</v>
      </c>
      <c r="F98" s="31" t="s">
        <v>955</v>
      </c>
      <c r="G98" s="31" t="s">
        <v>41</v>
      </c>
      <c r="H98" s="32">
        <v>3</v>
      </c>
      <c r="I98" s="33" t="s">
        <v>124</v>
      </c>
    </row>
    <row r="99" spans="1:9" s="35" customFormat="1" ht="15" customHeight="1" x14ac:dyDescent="0.25">
      <c r="A99" s="41">
        <v>46316</v>
      </c>
      <c r="B99" s="31" t="s">
        <v>974</v>
      </c>
      <c r="C99" s="31" t="s">
        <v>975</v>
      </c>
      <c r="D99" s="31" t="s">
        <v>56</v>
      </c>
      <c r="E99" s="31" t="s">
        <v>57</v>
      </c>
      <c r="F99" s="31" t="s">
        <v>976</v>
      </c>
      <c r="G99" s="31" t="s">
        <v>41</v>
      </c>
      <c r="H99" s="32">
        <v>3</v>
      </c>
      <c r="I99" s="33" t="s">
        <v>124</v>
      </c>
    </row>
    <row r="100" spans="1:9" s="35" customFormat="1" ht="15" customHeight="1" x14ac:dyDescent="0.25">
      <c r="A100" s="41">
        <v>46316</v>
      </c>
      <c r="B100" s="31" t="s">
        <v>977</v>
      </c>
      <c r="C100" s="31" t="s">
        <v>978</v>
      </c>
      <c r="D100" s="31" t="s">
        <v>56</v>
      </c>
      <c r="E100" s="31" t="s">
        <v>57</v>
      </c>
      <c r="F100" s="31" t="s">
        <v>979</v>
      </c>
      <c r="G100" s="31" t="s">
        <v>41</v>
      </c>
      <c r="H100" s="32">
        <v>3</v>
      </c>
      <c r="I100" s="33" t="s">
        <v>59</v>
      </c>
    </row>
    <row r="101" spans="1:9" s="35" customFormat="1" ht="15" customHeight="1" x14ac:dyDescent="0.25">
      <c r="A101" s="41">
        <v>46316</v>
      </c>
      <c r="B101" s="31" t="s">
        <v>983</v>
      </c>
      <c r="C101" s="31" t="s">
        <v>984</v>
      </c>
      <c r="D101" s="31" t="s">
        <v>56</v>
      </c>
      <c r="E101" s="31" t="s">
        <v>57</v>
      </c>
      <c r="F101" s="31" t="s">
        <v>985</v>
      </c>
      <c r="G101" s="31" t="s">
        <v>41</v>
      </c>
      <c r="H101" s="32">
        <v>2</v>
      </c>
      <c r="I101" s="33" t="s">
        <v>521</v>
      </c>
    </row>
    <row r="102" spans="1:9" s="35" customFormat="1" ht="15" customHeight="1" x14ac:dyDescent="0.25">
      <c r="A102" s="41">
        <v>46317</v>
      </c>
      <c r="B102" s="31" t="s">
        <v>986</v>
      </c>
      <c r="C102" s="31" t="s">
        <v>987</v>
      </c>
      <c r="D102" s="31" t="s">
        <v>56</v>
      </c>
      <c r="E102" s="31" t="s">
        <v>57</v>
      </c>
      <c r="F102" s="31" t="s">
        <v>988</v>
      </c>
      <c r="G102" s="31" t="s">
        <v>41</v>
      </c>
      <c r="H102" s="32">
        <v>3</v>
      </c>
      <c r="I102" s="33" t="s">
        <v>124</v>
      </c>
    </row>
    <row r="103" spans="1:9" s="35" customFormat="1" ht="15" customHeight="1" x14ac:dyDescent="0.25">
      <c r="A103" s="41">
        <v>46317</v>
      </c>
      <c r="B103" s="31" t="s">
        <v>989</v>
      </c>
      <c r="C103" s="31" t="s">
        <v>990</v>
      </c>
      <c r="D103" s="31" t="s">
        <v>56</v>
      </c>
      <c r="E103" s="31" t="s">
        <v>57</v>
      </c>
      <c r="F103" s="31" t="s">
        <v>991</v>
      </c>
      <c r="G103" s="31" t="s">
        <v>41</v>
      </c>
      <c r="H103" s="32">
        <v>3</v>
      </c>
      <c r="I103" s="33" t="s">
        <v>78</v>
      </c>
    </row>
    <row r="104" spans="1:9" s="35" customFormat="1" ht="15" customHeight="1" x14ac:dyDescent="0.25">
      <c r="A104" s="41">
        <v>46318</v>
      </c>
      <c r="B104" s="31" t="s">
        <v>998</v>
      </c>
      <c r="C104" s="31" t="s">
        <v>999</v>
      </c>
      <c r="D104" s="31" t="s">
        <v>56</v>
      </c>
      <c r="E104" s="31" t="s">
        <v>57</v>
      </c>
      <c r="F104" s="31" t="s">
        <v>1000</v>
      </c>
      <c r="G104" s="31" t="s">
        <v>41</v>
      </c>
      <c r="H104" s="32">
        <v>3</v>
      </c>
      <c r="I104" s="33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9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ColWidth="8.7109375" defaultRowHeight="15" x14ac:dyDescent="0.25"/>
  <cols>
    <col min="1" max="1" width="11" customWidth="1"/>
    <col min="2" max="2" width="16" customWidth="1"/>
    <col min="3" max="3" width="20" customWidth="1"/>
    <col min="4" max="4" width="14" customWidth="1"/>
    <col min="5" max="5" width="18" customWidth="1"/>
    <col min="6" max="6" width="40" customWidth="1"/>
    <col min="7" max="7" width="13" customWidth="1"/>
    <col min="8" max="8" width="8" customWidth="1"/>
    <col min="9" max="9" width="22" customWidth="1"/>
  </cols>
  <sheetData>
    <row r="1" spans="1:11" ht="23.25" customHeight="1" x14ac:dyDescent="0.25">
      <c r="A1" s="36" t="s">
        <v>45</v>
      </c>
      <c r="B1" s="37" t="s">
        <v>9</v>
      </c>
      <c r="C1" s="37" t="s">
        <v>46</v>
      </c>
      <c r="D1" s="37" t="s">
        <v>47</v>
      </c>
      <c r="E1" s="37" t="s">
        <v>48</v>
      </c>
      <c r="F1" s="37" t="s">
        <v>49</v>
      </c>
      <c r="G1" s="37" t="s">
        <v>50</v>
      </c>
      <c r="H1" s="37" t="s">
        <v>39</v>
      </c>
      <c r="I1" s="37" t="s">
        <v>51</v>
      </c>
      <c r="J1" s="37" t="s">
        <v>52</v>
      </c>
      <c r="K1" s="37" t="s">
        <v>53</v>
      </c>
    </row>
    <row r="2" spans="1:11" ht="15" customHeight="1" x14ac:dyDescent="0.25">
      <c r="A2" s="40">
        <v>46251</v>
      </c>
      <c r="B2" s="38" t="s">
        <v>17</v>
      </c>
      <c r="C2" s="38" t="s">
        <v>125</v>
      </c>
      <c r="D2" s="38">
        <v>11441</v>
      </c>
      <c r="E2" s="38" t="s">
        <v>126</v>
      </c>
      <c r="F2" s="38" t="s">
        <v>127</v>
      </c>
      <c r="G2" s="38" t="s">
        <v>128</v>
      </c>
      <c r="H2" s="38" t="s">
        <v>41</v>
      </c>
      <c r="I2" s="38">
        <v>4</v>
      </c>
      <c r="J2" s="38" t="s">
        <v>129</v>
      </c>
      <c r="K2" s="17">
        <v>1</v>
      </c>
    </row>
    <row r="3" spans="1:11" ht="15" customHeight="1" x14ac:dyDescent="0.25">
      <c r="A3" s="40">
        <v>46251</v>
      </c>
      <c r="B3" s="38" t="s">
        <v>17</v>
      </c>
      <c r="C3" s="38" t="s">
        <v>147</v>
      </c>
      <c r="D3" s="38">
        <v>302772</v>
      </c>
      <c r="E3" s="38" t="s">
        <v>126</v>
      </c>
      <c r="F3" s="38" t="s">
        <v>127</v>
      </c>
      <c r="G3" s="38" t="s">
        <v>148</v>
      </c>
      <c r="H3" s="38" t="s">
        <v>41</v>
      </c>
      <c r="I3" s="38">
        <v>1</v>
      </c>
      <c r="J3" s="38" t="s">
        <v>87</v>
      </c>
      <c r="K3" s="17">
        <v>1</v>
      </c>
    </row>
    <row r="4" spans="1:11" ht="15" customHeight="1" x14ac:dyDescent="0.25">
      <c r="A4" s="40">
        <v>46252</v>
      </c>
      <c r="B4" s="38" t="s">
        <v>17</v>
      </c>
      <c r="C4" s="38" t="s">
        <v>158</v>
      </c>
      <c r="D4" s="38">
        <v>964</v>
      </c>
      <c r="E4" s="38" t="s">
        <v>126</v>
      </c>
      <c r="F4" s="38" t="s">
        <v>159</v>
      </c>
      <c r="G4" s="38" t="s">
        <v>160</v>
      </c>
      <c r="H4" s="38" t="s">
        <v>41</v>
      </c>
      <c r="I4" s="38">
        <v>6</v>
      </c>
      <c r="J4" s="38" t="s">
        <v>161</v>
      </c>
      <c r="K4" s="17">
        <v>1</v>
      </c>
    </row>
    <row r="5" spans="1:11" ht="15" customHeight="1" x14ac:dyDescent="0.25">
      <c r="A5" s="40">
        <v>46253</v>
      </c>
      <c r="B5" s="38" t="s">
        <v>17</v>
      </c>
      <c r="C5" s="38" t="s">
        <v>158</v>
      </c>
      <c r="D5" s="38">
        <v>964</v>
      </c>
      <c r="E5" s="38" t="s">
        <v>126</v>
      </c>
      <c r="F5" s="38" t="s">
        <v>159</v>
      </c>
      <c r="G5" s="38" t="s">
        <v>160</v>
      </c>
      <c r="H5" s="38" t="s">
        <v>41</v>
      </c>
      <c r="I5" s="38">
        <v>4</v>
      </c>
      <c r="J5" s="38" t="s">
        <v>177</v>
      </c>
      <c r="K5" s="17">
        <v>0</v>
      </c>
    </row>
    <row r="6" spans="1:11" ht="15" customHeight="1" x14ac:dyDescent="0.25">
      <c r="A6" s="40">
        <v>46253</v>
      </c>
      <c r="B6" s="38" t="s">
        <v>17</v>
      </c>
      <c r="C6" s="38" t="s">
        <v>187</v>
      </c>
      <c r="D6" s="38">
        <v>5749</v>
      </c>
      <c r="E6" s="38" t="s">
        <v>126</v>
      </c>
      <c r="F6" s="38" t="s">
        <v>188</v>
      </c>
      <c r="G6" s="38" t="s">
        <v>189</v>
      </c>
      <c r="H6" s="38" t="s">
        <v>41</v>
      </c>
      <c r="I6" s="38">
        <v>2</v>
      </c>
      <c r="J6" s="38" t="s">
        <v>59</v>
      </c>
      <c r="K6" s="17">
        <v>1</v>
      </c>
    </row>
    <row r="7" spans="1:11" ht="15" customHeight="1" x14ac:dyDescent="0.25">
      <c r="A7" s="40">
        <v>46254</v>
      </c>
      <c r="B7" s="38" t="s">
        <v>17</v>
      </c>
      <c r="C7" s="38" t="s">
        <v>206</v>
      </c>
      <c r="D7" s="38">
        <v>970</v>
      </c>
      <c r="E7" s="38" t="s">
        <v>126</v>
      </c>
      <c r="F7" s="38" t="s">
        <v>207</v>
      </c>
      <c r="G7" s="38" t="s">
        <v>208</v>
      </c>
      <c r="H7" s="38" t="s">
        <v>41</v>
      </c>
      <c r="I7" s="38">
        <v>4</v>
      </c>
      <c r="J7" s="38" t="s">
        <v>209</v>
      </c>
      <c r="K7" s="17">
        <v>1</v>
      </c>
    </row>
    <row r="8" spans="1:11" ht="15" customHeight="1" x14ac:dyDescent="0.25">
      <c r="A8" s="40">
        <v>46254</v>
      </c>
      <c r="B8" s="38" t="s">
        <v>17</v>
      </c>
      <c r="C8" s="38" t="s">
        <v>206</v>
      </c>
      <c r="D8" s="38">
        <v>970</v>
      </c>
      <c r="E8" s="38" t="s">
        <v>126</v>
      </c>
      <c r="F8" s="38" t="s">
        <v>207</v>
      </c>
      <c r="G8" s="38" t="s">
        <v>208</v>
      </c>
      <c r="H8" s="38" t="s">
        <v>41</v>
      </c>
      <c r="I8" s="38">
        <v>2</v>
      </c>
      <c r="J8" s="38" t="s">
        <v>59</v>
      </c>
      <c r="K8" s="17">
        <v>0</v>
      </c>
    </row>
    <row r="9" spans="1:11" ht="15" customHeight="1" x14ac:dyDescent="0.25">
      <c r="A9" s="40">
        <v>46255</v>
      </c>
      <c r="B9" s="38" t="s">
        <v>17</v>
      </c>
      <c r="C9" s="38" t="s">
        <v>213</v>
      </c>
      <c r="D9" s="38">
        <v>4582</v>
      </c>
      <c r="E9" s="38" t="s">
        <v>126</v>
      </c>
      <c r="F9" s="38" t="s">
        <v>215</v>
      </c>
      <c r="G9" s="38" t="s">
        <v>216</v>
      </c>
      <c r="H9" s="38" t="s">
        <v>41</v>
      </c>
      <c r="I9" s="38">
        <v>3</v>
      </c>
      <c r="J9" s="38" t="s">
        <v>209</v>
      </c>
      <c r="K9" s="17">
        <v>1</v>
      </c>
    </row>
    <row r="10" spans="1:11" ht="15" customHeight="1" x14ac:dyDescent="0.25">
      <c r="A10" s="40">
        <v>46255</v>
      </c>
      <c r="B10" s="38" t="s">
        <v>17</v>
      </c>
      <c r="C10" s="38" t="s">
        <v>217</v>
      </c>
      <c r="D10" s="38">
        <v>4577</v>
      </c>
      <c r="E10" s="38" t="s">
        <v>126</v>
      </c>
      <c r="F10" s="38" t="s">
        <v>215</v>
      </c>
      <c r="G10" s="38" t="s">
        <v>219</v>
      </c>
      <c r="H10" s="38" t="s">
        <v>41</v>
      </c>
      <c r="I10" s="38">
        <v>2</v>
      </c>
      <c r="J10" s="38" t="s">
        <v>59</v>
      </c>
      <c r="K10" s="17">
        <v>1</v>
      </c>
    </row>
    <row r="11" spans="1:11" ht="15" customHeight="1" x14ac:dyDescent="0.25">
      <c r="A11" s="40">
        <v>46259</v>
      </c>
      <c r="B11" s="38" t="s">
        <v>17</v>
      </c>
      <c r="C11" s="38" t="s">
        <v>245</v>
      </c>
      <c r="D11" s="38">
        <v>9766</v>
      </c>
      <c r="E11" s="38" t="s">
        <v>247</v>
      </c>
      <c r="F11" s="38" t="s">
        <v>248</v>
      </c>
      <c r="G11" s="38" t="s">
        <v>249</v>
      </c>
      <c r="H11" s="38" t="s">
        <v>41</v>
      </c>
      <c r="I11" s="38">
        <v>2</v>
      </c>
      <c r="J11" s="38" t="s">
        <v>59</v>
      </c>
      <c r="K11" s="17">
        <v>1</v>
      </c>
    </row>
    <row r="12" spans="1:11" ht="15" customHeight="1" x14ac:dyDescent="0.25">
      <c r="A12" s="40">
        <v>46259</v>
      </c>
      <c r="B12" s="38" t="s">
        <v>17</v>
      </c>
      <c r="C12" s="38" t="s">
        <v>255</v>
      </c>
      <c r="D12" s="38">
        <v>9760</v>
      </c>
      <c r="E12" s="38" t="s">
        <v>247</v>
      </c>
      <c r="F12" s="38" t="s">
        <v>248</v>
      </c>
      <c r="G12" s="38" t="s">
        <v>257</v>
      </c>
      <c r="H12" s="38" t="s">
        <v>41</v>
      </c>
      <c r="I12" s="38">
        <v>4</v>
      </c>
      <c r="J12" s="38" t="s">
        <v>177</v>
      </c>
      <c r="K12" s="17">
        <v>1</v>
      </c>
    </row>
    <row r="13" spans="1:11" ht="15" customHeight="1" x14ac:dyDescent="0.25">
      <c r="A13" s="40">
        <v>46260</v>
      </c>
      <c r="B13" s="38" t="s">
        <v>17</v>
      </c>
      <c r="C13" s="38" t="s">
        <v>245</v>
      </c>
      <c r="D13" s="38">
        <v>9766</v>
      </c>
      <c r="E13" s="38" t="s">
        <v>247</v>
      </c>
      <c r="F13" s="38" t="s">
        <v>248</v>
      </c>
      <c r="G13" s="38" t="s">
        <v>249</v>
      </c>
      <c r="H13" s="38" t="s">
        <v>41</v>
      </c>
      <c r="I13" s="38">
        <v>5</v>
      </c>
      <c r="J13" s="38" t="s">
        <v>283</v>
      </c>
      <c r="K13" s="17">
        <v>0</v>
      </c>
    </row>
    <row r="14" spans="1:11" ht="15" customHeight="1" x14ac:dyDescent="0.25">
      <c r="A14" s="40">
        <v>46261</v>
      </c>
      <c r="B14" s="38" t="s">
        <v>17</v>
      </c>
      <c r="C14" s="38" t="s">
        <v>318</v>
      </c>
      <c r="D14" s="38">
        <v>3542</v>
      </c>
      <c r="E14" s="38" t="s">
        <v>247</v>
      </c>
      <c r="F14" s="38" t="s">
        <v>320</v>
      </c>
      <c r="G14" s="38" t="s">
        <v>321</v>
      </c>
      <c r="H14" s="38" t="s">
        <v>41</v>
      </c>
      <c r="I14" s="38">
        <v>2</v>
      </c>
      <c r="J14" s="38" t="s">
        <v>59</v>
      </c>
      <c r="K14" s="17">
        <v>1</v>
      </c>
    </row>
    <row r="15" spans="1:11" ht="15" customHeight="1" x14ac:dyDescent="0.25">
      <c r="A15" s="40">
        <v>46261</v>
      </c>
      <c r="B15" s="38" t="s">
        <v>17</v>
      </c>
      <c r="C15" s="38" t="s">
        <v>322</v>
      </c>
      <c r="D15" s="38">
        <v>3066</v>
      </c>
      <c r="E15" s="38" t="s">
        <v>247</v>
      </c>
      <c r="F15" s="38" t="s">
        <v>324</v>
      </c>
      <c r="G15" s="38" t="s">
        <v>325</v>
      </c>
      <c r="H15" s="38" t="s">
        <v>41</v>
      </c>
      <c r="I15" s="38">
        <v>3</v>
      </c>
      <c r="J15" s="38" t="s">
        <v>209</v>
      </c>
      <c r="K15" s="17">
        <v>1</v>
      </c>
    </row>
    <row r="16" spans="1:11" ht="15" customHeight="1" x14ac:dyDescent="0.25">
      <c r="A16" s="40">
        <v>46262</v>
      </c>
      <c r="B16" s="38" t="s">
        <v>17</v>
      </c>
      <c r="C16" s="38" t="s">
        <v>318</v>
      </c>
      <c r="D16" s="38">
        <v>3542</v>
      </c>
      <c r="E16" s="38" t="s">
        <v>247</v>
      </c>
      <c r="F16" s="38" t="s">
        <v>320</v>
      </c>
      <c r="G16" s="38" t="s">
        <v>321</v>
      </c>
      <c r="H16" s="38" t="s">
        <v>41</v>
      </c>
      <c r="I16" s="38">
        <v>3</v>
      </c>
      <c r="J16" s="38" t="s">
        <v>209</v>
      </c>
      <c r="K16" s="17">
        <v>0</v>
      </c>
    </row>
    <row r="17" spans="1:11" ht="15" customHeight="1" x14ac:dyDescent="0.25">
      <c r="A17" s="40">
        <v>46266</v>
      </c>
      <c r="B17" s="38" t="s">
        <v>17</v>
      </c>
      <c r="C17" s="38" t="s">
        <v>383</v>
      </c>
      <c r="D17" s="38">
        <v>8188</v>
      </c>
      <c r="E17" s="38" t="s">
        <v>385</v>
      </c>
      <c r="F17" s="38" t="s">
        <v>386</v>
      </c>
      <c r="G17" s="38" t="s">
        <v>387</v>
      </c>
      <c r="H17" s="38" t="s">
        <v>41</v>
      </c>
      <c r="I17" s="38">
        <v>6</v>
      </c>
      <c r="J17" s="38" t="s">
        <v>161</v>
      </c>
      <c r="K17" s="17">
        <v>1</v>
      </c>
    </row>
    <row r="18" spans="1:11" ht="15" customHeight="1" x14ac:dyDescent="0.25">
      <c r="A18" s="40" t="s">
        <v>1004</v>
      </c>
      <c r="B18" s="38" t="s">
        <v>17</v>
      </c>
      <c r="C18" s="38" t="s">
        <v>408</v>
      </c>
      <c r="D18" s="38">
        <v>8236</v>
      </c>
      <c r="E18" s="38" t="s">
        <v>385</v>
      </c>
      <c r="F18" s="38" t="s">
        <v>386</v>
      </c>
      <c r="G18" s="38" t="s">
        <v>410</v>
      </c>
      <c r="H18" s="38" t="s">
        <v>41</v>
      </c>
      <c r="I18" s="38">
        <v>8</v>
      </c>
      <c r="J18" s="38" t="s">
        <v>161</v>
      </c>
      <c r="K18" s="17">
        <v>1</v>
      </c>
    </row>
    <row r="19" spans="1:11" ht="15" customHeight="1" x14ac:dyDescent="0.25">
      <c r="A19" s="40">
        <v>46268</v>
      </c>
      <c r="B19" s="38" t="s">
        <v>17</v>
      </c>
      <c r="C19" s="38" t="s">
        <v>439</v>
      </c>
      <c r="D19" s="38">
        <v>8245</v>
      </c>
      <c r="E19" s="38" t="s">
        <v>385</v>
      </c>
      <c r="F19" s="38" t="s">
        <v>386</v>
      </c>
      <c r="G19" s="38" t="s">
        <v>441</v>
      </c>
      <c r="H19" s="38" t="s">
        <v>41</v>
      </c>
      <c r="I19" s="38">
        <v>3</v>
      </c>
      <c r="J19" s="38" t="s">
        <v>209</v>
      </c>
      <c r="K19" s="17">
        <v>1</v>
      </c>
    </row>
    <row r="20" spans="1:11" ht="15" customHeight="1" x14ac:dyDescent="0.25">
      <c r="A20" s="40">
        <v>46268</v>
      </c>
      <c r="B20" s="38" t="s">
        <v>17</v>
      </c>
      <c r="C20" s="38" t="s">
        <v>449</v>
      </c>
      <c r="D20" s="38">
        <v>8226</v>
      </c>
      <c r="E20" s="38" t="s">
        <v>385</v>
      </c>
      <c r="F20" s="38" t="s">
        <v>386</v>
      </c>
      <c r="G20" s="38" t="s">
        <v>451</v>
      </c>
      <c r="H20" s="38" t="s">
        <v>41</v>
      </c>
      <c r="I20" s="38">
        <v>4</v>
      </c>
      <c r="J20" s="38" t="s">
        <v>78</v>
      </c>
      <c r="K20" s="17">
        <v>1</v>
      </c>
    </row>
    <row r="21" spans="1:11" ht="15" customHeight="1" x14ac:dyDescent="0.25">
      <c r="A21" s="40">
        <v>46273</v>
      </c>
      <c r="B21" s="38" t="s">
        <v>17</v>
      </c>
      <c r="C21" s="38" t="s">
        <v>466</v>
      </c>
      <c r="D21" s="38">
        <v>2472</v>
      </c>
      <c r="E21" s="38" t="s">
        <v>385</v>
      </c>
      <c r="F21" s="38" t="s">
        <v>468</v>
      </c>
      <c r="G21" s="38" t="s">
        <v>469</v>
      </c>
      <c r="H21" s="38" t="s">
        <v>41</v>
      </c>
      <c r="I21" s="38">
        <v>6</v>
      </c>
      <c r="J21" s="38" t="s">
        <v>161</v>
      </c>
      <c r="K21" s="17">
        <v>1</v>
      </c>
    </row>
    <row r="22" spans="1:11" ht="15" customHeight="1" x14ac:dyDescent="0.25">
      <c r="A22" s="40">
        <v>46274</v>
      </c>
      <c r="B22" s="38" t="s">
        <v>17</v>
      </c>
      <c r="C22" s="38" t="s">
        <v>466</v>
      </c>
      <c r="D22" s="38">
        <v>2472</v>
      </c>
      <c r="E22" s="38" t="s">
        <v>385</v>
      </c>
      <c r="F22" s="38" t="s">
        <v>468</v>
      </c>
      <c r="G22" s="38" t="s">
        <v>469</v>
      </c>
      <c r="H22" s="38" t="s">
        <v>41</v>
      </c>
      <c r="I22" s="38">
        <v>2</v>
      </c>
      <c r="J22" s="38" t="s">
        <v>240</v>
      </c>
      <c r="K22" s="17">
        <v>0</v>
      </c>
    </row>
    <row r="23" spans="1:11" ht="15" customHeight="1" x14ac:dyDescent="0.25">
      <c r="A23" s="40">
        <v>46274</v>
      </c>
      <c r="B23" s="38" t="s">
        <v>17</v>
      </c>
      <c r="C23" s="38" t="s">
        <v>505</v>
      </c>
      <c r="D23" s="38">
        <v>9562</v>
      </c>
      <c r="E23" s="38" t="s">
        <v>385</v>
      </c>
      <c r="F23" s="38" t="s">
        <v>507</v>
      </c>
      <c r="G23" s="38" t="s">
        <v>508</v>
      </c>
      <c r="H23" s="38" t="s">
        <v>41</v>
      </c>
      <c r="I23" s="38">
        <v>1</v>
      </c>
      <c r="J23" s="38" t="s">
        <v>371</v>
      </c>
      <c r="K23" s="17">
        <v>1</v>
      </c>
    </row>
    <row r="24" spans="1:11" ht="15" customHeight="1" x14ac:dyDescent="0.25">
      <c r="A24" s="40">
        <v>46274</v>
      </c>
      <c r="B24" s="38" t="s">
        <v>17</v>
      </c>
      <c r="C24" s="38" t="s">
        <v>517</v>
      </c>
      <c r="D24" s="38">
        <v>14293</v>
      </c>
      <c r="E24" s="38" t="s">
        <v>385</v>
      </c>
      <c r="F24" s="38" t="s">
        <v>519</v>
      </c>
      <c r="G24" s="38" t="s">
        <v>520</v>
      </c>
      <c r="H24" s="38" t="s">
        <v>41</v>
      </c>
      <c r="I24" s="38">
        <v>1</v>
      </c>
      <c r="J24" s="38" t="s">
        <v>521</v>
      </c>
      <c r="K24" s="17">
        <v>1</v>
      </c>
    </row>
    <row r="25" spans="1:11" ht="15" customHeight="1" x14ac:dyDescent="0.25">
      <c r="A25" s="40">
        <v>46275</v>
      </c>
      <c r="B25" s="38" t="s">
        <v>17</v>
      </c>
      <c r="C25" s="38" t="s">
        <v>505</v>
      </c>
      <c r="D25" s="38">
        <v>9562</v>
      </c>
      <c r="E25" s="38" t="s">
        <v>385</v>
      </c>
      <c r="F25" s="38" t="s">
        <v>507</v>
      </c>
      <c r="G25" s="38" t="s">
        <v>508</v>
      </c>
      <c r="H25" s="38" t="s">
        <v>41</v>
      </c>
      <c r="I25" s="38">
        <v>3</v>
      </c>
      <c r="J25" s="38" t="s">
        <v>209</v>
      </c>
      <c r="K25" s="17">
        <v>0</v>
      </c>
    </row>
    <row r="26" spans="1:11" ht="15" customHeight="1" x14ac:dyDescent="0.25">
      <c r="A26" s="40">
        <v>46275</v>
      </c>
      <c r="B26" s="38" t="s">
        <v>17</v>
      </c>
      <c r="C26" s="38" t="s">
        <v>530</v>
      </c>
      <c r="D26" s="38">
        <v>11293</v>
      </c>
      <c r="E26" s="38" t="s">
        <v>385</v>
      </c>
      <c r="F26" s="38" t="s">
        <v>532</v>
      </c>
      <c r="G26" s="38" t="s">
        <v>533</v>
      </c>
      <c r="H26" s="38" t="s">
        <v>41</v>
      </c>
      <c r="I26" s="38">
        <v>3</v>
      </c>
      <c r="J26" s="38" t="s">
        <v>78</v>
      </c>
      <c r="K26" s="17">
        <v>1</v>
      </c>
    </row>
    <row r="27" spans="1:11" ht="15" customHeight="1" x14ac:dyDescent="0.25">
      <c r="A27" s="40">
        <v>46286</v>
      </c>
      <c r="B27" s="38" t="s">
        <v>17</v>
      </c>
      <c r="C27" s="38" t="s">
        <v>633</v>
      </c>
      <c r="D27" s="38">
        <v>300671</v>
      </c>
      <c r="E27" s="38" t="s">
        <v>635</v>
      </c>
      <c r="F27" s="38" t="s">
        <v>636</v>
      </c>
      <c r="G27" s="38" t="s">
        <v>637</v>
      </c>
      <c r="H27" s="38" t="s">
        <v>41</v>
      </c>
      <c r="I27" s="38">
        <v>2</v>
      </c>
      <c r="J27" s="38" t="s">
        <v>638</v>
      </c>
      <c r="K27" s="17">
        <v>1</v>
      </c>
    </row>
    <row r="28" spans="1:11" ht="15" customHeight="1" x14ac:dyDescent="0.25">
      <c r="A28" s="40">
        <v>46288</v>
      </c>
      <c r="B28" s="38" t="s">
        <v>17</v>
      </c>
      <c r="C28" s="38" t="s">
        <v>663</v>
      </c>
      <c r="D28" s="38">
        <v>2521</v>
      </c>
      <c r="E28" s="38" t="s">
        <v>665</v>
      </c>
      <c r="F28" s="38" t="s">
        <v>666</v>
      </c>
      <c r="G28" s="38" t="s">
        <v>667</v>
      </c>
      <c r="H28" s="38" t="s">
        <v>41</v>
      </c>
      <c r="I28" s="38">
        <v>4</v>
      </c>
      <c r="J28" s="38" t="s">
        <v>209</v>
      </c>
      <c r="K28" s="17">
        <v>1</v>
      </c>
    </row>
    <row r="29" spans="1:11" ht="15" customHeight="1" x14ac:dyDescent="0.25">
      <c r="A29" s="40">
        <v>46288</v>
      </c>
      <c r="B29" s="38" t="s">
        <v>17</v>
      </c>
      <c r="C29" s="38" t="s">
        <v>668</v>
      </c>
      <c r="D29" s="38">
        <v>5308</v>
      </c>
      <c r="E29" s="38" t="s">
        <v>665</v>
      </c>
      <c r="F29" s="38" t="s">
        <v>670</v>
      </c>
      <c r="G29" s="38" t="s">
        <v>671</v>
      </c>
      <c r="H29" s="38" t="s">
        <v>41</v>
      </c>
      <c r="I29" s="38">
        <v>4</v>
      </c>
      <c r="J29" s="38" t="s">
        <v>59</v>
      </c>
      <c r="K29" s="17">
        <v>1</v>
      </c>
    </row>
    <row r="30" spans="1:11" ht="15" customHeight="1" x14ac:dyDescent="0.25">
      <c r="A30" s="40">
        <v>46289</v>
      </c>
      <c r="B30" s="38" t="s">
        <v>17</v>
      </c>
      <c r="C30" s="38" t="s">
        <v>691</v>
      </c>
      <c r="D30" s="38">
        <v>796</v>
      </c>
      <c r="E30" s="38" t="s">
        <v>693</v>
      </c>
      <c r="F30" s="38" t="s">
        <v>694</v>
      </c>
      <c r="G30" s="38" t="s">
        <v>695</v>
      </c>
      <c r="H30" s="38" t="s">
        <v>41</v>
      </c>
      <c r="I30" s="38">
        <v>2</v>
      </c>
      <c r="J30" s="38" t="s">
        <v>78</v>
      </c>
      <c r="K30" s="17">
        <v>1</v>
      </c>
    </row>
    <row r="31" spans="1:11" ht="15" customHeight="1" x14ac:dyDescent="0.25">
      <c r="A31" s="40">
        <v>46289</v>
      </c>
      <c r="B31" s="38" t="s">
        <v>17</v>
      </c>
      <c r="C31" s="38" t="s">
        <v>696</v>
      </c>
      <c r="D31" s="38">
        <v>1228</v>
      </c>
      <c r="E31" s="38" t="s">
        <v>693</v>
      </c>
      <c r="F31" s="38" t="s">
        <v>698</v>
      </c>
      <c r="G31" s="38" t="s">
        <v>699</v>
      </c>
      <c r="H31" s="38" t="s">
        <v>41</v>
      </c>
      <c r="I31" s="38">
        <v>2</v>
      </c>
      <c r="J31" s="38" t="s">
        <v>367</v>
      </c>
      <c r="K31" s="17">
        <v>1</v>
      </c>
    </row>
    <row r="32" spans="1:11" ht="15" customHeight="1" x14ac:dyDescent="0.25">
      <c r="A32" s="40">
        <v>46290</v>
      </c>
      <c r="B32" s="38" t="s">
        <v>17</v>
      </c>
      <c r="C32" s="38" t="s">
        <v>704</v>
      </c>
      <c r="D32" s="38">
        <v>786</v>
      </c>
      <c r="E32" s="38" t="s">
        <v>693</v>
      </c>
      <c r="F32" s="38" t="s">
        <v>694</v>
      </c>
      <c r="G32" s="38" t="s">
        <v>706</v>
      </c>
      <c r="H32" s="38" t="s">
        <v>41</v>
      </c>
      <c r="I32" s="38">
        <v>4</v>
      </c>
      <c r="J32" s="38" t="s">
        <v>209</v>
      </c>
      <c r="K32" s="17">
        <v>1</v>
      </c>
    </row>
    <row r="33" spans="1:11" ht="15" customHeight="1" x14ac:dyDescent="0.25">
      <c r="A33" s="40">
        <v>46293</v>
      </c>
      <c r="B33" s="38" t="s">
        <v>17</v>
      </c>
      <c r="C33" s="38" t="s">
        <v>711</v>
      </c>
      <c r="D33" s="38">
        <v>2693</v>
      </c>
      <c r="E33" s="38" t="s">
        <v>693</v>
      </c>
      <c r="F33" s="38" t="s">
        <v>713</v>
      </c>
      <c r="G33" s="38" t="s">
        <v>714</v>
      </c>
      <c r="H33" s="38" t="s">
        <v>41</v>
      </c>
      <c r="I33" s="38">
        <v>4</v>
      </c>
      <c r="J33" s="38" t="s">
        <v>715</v>
      </c>
      <c r="K33" s="17">
        <v>1</v>
      </c>
    </row>
    <row r="34" spans="1:11" ht="15" customHeight="1" x14ac:dyDescent="0.25">
      <c r="A34" s="40">
        <v>46293</v>
      </c>
      <c r="B34" s="38" t="s">
        <v>17</v>
      </c>
      <c r="C34" s="38" t="s">
        <v>716</v>
      </c>
      <c r="D34" s="38" t="s">
        <v>717</v>
      </c>
      <c r="E34" s="38" t="s">
        <v>693</v>
      </c>
      <c r="F34" s="38" t="s">
        <v>718</v>
      </c>
      <c r="G34" s="38" t="s">
        <v>719</v>
      </c>
      <c r="H34" s="38" t="s">
        <v>43</v>
      </c>
      <c r="I34" s="38">
        <v>3</v>
      </c>
      <c r="J34" s="38" t="s">
        <v>662</v>
      </c>
      <c r="K34" s="17">
        <v>1</v>
      </c>
    </row>
    <row r="35" spans="1:11" ht="15" customHeight="1" x14ac:dyDescent="0.25">
      <c r="A35" s="40">
        <v>46294</v>
      </c>
      <c r="B35" s="38" t="s">
        <v>17</v>
      </c>
      <c r="C35" s="38" t="s">
        <v>741</v>
      </c>
      <c r="D35" s="38" t="s">
        <v>742</v>
      </c>
      <c r="E35" s="38" t="s">
        <v>693</v>
      </c>
      <c r="F35" s="38" t="s">
        <v>743</v>
      </c>
      <c r="G35" s="38" t="s">
        <v>744</v>
      </c>
      <c r="H35" s="38" t="s">
        <v>43</v>
      </c>
      <c r="I35" s="38">
        <v>3</v>
      </c>
      <c r="J35" s="38" t="s">
        <v>209</v>
      </c>
      <c r="K35" s="17">
        <v>1</v>
      </c>
    </row>
    <row r="36" spans="1:11" ht="15" customHeight="1" x14ac:dyDescent="0.25">
      <c r="A36" s="40">
        <v>46294</v>
      </c>
      <c r="B36" s="38" t="s">
        <v>17</v>
      </c>
      <c r="C36" s="38" t="s">
        <v>745</v>
      </c>
      <c r="D36" s="38" t="s">
        <v>746</v>
      </c>
      <c r="E36" s="38" t="s">
        <v>693</v>
      </c>
      <c r="F36" s="38" t="s">
        <v>743</v>
      </c>
      <c r="G36" s="38" t="s">
        <v>744</v>
      </c>
      <c r="H36" s="38" t="s">
        <v>43</v>
      </c>
      <c r="I36" s="38">
        <v>3</v>
      </c>
      <c r="J36" s="38" t="s">
        <v>78</v>
      </c>
      <c r="K36" s="17">
        <v>1</v>
      </c>
    </row>
    <row r="37" spans="1:11" ht="15" customHeight="1" x14ac:dyDescent="0.25">
      <c r="A37" s="40">
        <v>46295</v>
      </c>
      <c r="B37" s="38" t="s">
        <v>17</v>
      </c>
      <c r="C37" s="38" t="s">
        <v>776</v>
      </c>
      <c r="D37" s="38" t="s">
        <v>777</v>
      </c>
      <c r="E37" s="38" t="s">
        <v>693</v>
      </c>
      <c r="F37" s="38" t="s">
        <v>743</v>
      </c>
      <c r="G37" s="38" t="s">
        <v>744</v>
      </c>
      <c r="H37" s="38" t="s">
        <v>43</v>
      </c>
      <c r="I37" s="38">
        <v>5</v>
      </c>
      <c r="J37" s="38" t="s">
        <v>778</v>
      </c>
      <c r="K37" s="17">
        <v>1</v>
      </c>
    </row>
    <row r="38" spans="1:11" ht="15" customHeight="1" x14ac:dyDescent="0.25">
      <c r="A38" s="40">
        <v>46295</v>
      </c>
      <c r="B38" s="38" t="s">
        <v>17</v>
      </c>
      <c r="C38" s="38" t="s">
        <v>783</v>
      </c>
      <c r="D38" s="38">
        <v>301299</v>
      </c>
      <c r="E38" s="38" t="s">
        <v>693</v>
      </c>
      <c r="F38" s="38" t="s">
        <v>785</v>
      </c>
      <c r="G38" s="38" t="s">
        <v>786</v>
      </c>
      <c r="H38" s="38" t="s">
        <v>41</v>
      </c>
      <c r="I38" s="38">
        <v>1</v>
      </c>
      <c r="J38" s="38" t="s">
        <v>371</v>
      </c>
      <c r="K38" s="17">
        <v>1</v>
      </c>
    </row>
    <row r="39" spans="1:11" ht="15" customHeight="1" x14ac:dyDescent="0.25">
      <c r="A39" s="40">
        <v>46296</v>
      </c>
      <c r="B39" s="38" t="s">
        <v>17</v>
      </c>
      <c r="C39" s="38" t="s">
        <v>799</v>
      </c>
      <c r="D39" s="38">
        <v>10889</v>
      </c>
      <c r="E39" s="38" t="s">
        <v>693</v>
      </c>
      <c r="F39" s="38" t="s">
        <v>801</v>
      </c>
      <c r="G39" s="38" t="s">
        <v>802</v>
      </c>
      <c r="H39" s="38" t="s">
        <v>41</v>
      </c>
      <c r="I39" s="38">
        <v>3</v>
      </c>
      <c r="J39" s="38" t="s">
        <v>803</v>
      </c>
      <c r="K39" s="17">
        <v>1</v>
      </c>
    </row>
    <row r="40" spans="1:11" ht="15" customHeight="1" x14ac:dyDescent="0.25">
      <c r="A40" s="40">
        <v>46296</v>
      </c>
      <c r="B40" s="38" t="s">
        <v>17</v>
      </c>
      <c r="C40" s="39" t="s">
        <v>804</v>
      </c>
      <c r="D40" s="38" t="s">
        <v>805</v>
      </c>
      <c r="E40" s="38" t="s">
        <v>693</v>
      </c>
      <c r="F40" s="38" t="s">
        <v>806</v>
      </c>
      <c r="G40" s="38" t="s">
        <v>807</v>
      </c>
      <c r="H40" s="38" t="s">
        <v>43</v>
      </c>
      <c r="I40" s="38">
        <v>3</v>
      </c>
      <c r="J40" s="38" t="s">
        <v>808</v>
      </c>
      <c r="K40" s="17">
        <v>1</v>
      </c>
    </row>
    <row r="41" spans="1:11" ht="15" customHeight="1" x14ac:dyDescent="0.25">
      <c r="A41" s="40">
        <v>46301</v>
      </c>
      <c r="B41" s="38" t="s">
        <v>17</v>
      </c>
      <c r="C41" s="38" t="s">
        <v>842</v>
      </c>
      <c r="D41" s="38">
        <v>6659</v>
      </c>
      <c r="E41" s="38" t="s">
        <v>385</v>
      </c>
      <c r="F41" s="38" t="s">
        <v>844</v>
      </c>
      <c r="G41" s="38" t="s">
        <v>845</v>
      </c>
      <c r="H41" s="38" t="s">
        <v>41</v>
      </c>
      <c r="I41" s="38">
        <v>4</v>
      </c>
      <c r="J41" s="38" t="s">
        <v>603</v>
      </c>
      <c r="K41" s="17">
        <v>1</v>
      </c>
    </row>
    <row r="42" spans="1:11" ht="15" customHeight="1" x14ac:dyDescent="0.25">
      <c r="A42" s="40">
        <v>46301</v>
      </c>
      <c r="B42" s="38" t="s">
        <v>17</v>
      </c>
      <c r="C42" s="38" t="s">
        <v>846</v>
      </c>
      <c r="D42" s="38">
        <v>2889</v>
      </c>
      <c r="E42" s="38" t="s">
        <v>385</v>
      </c>
      <c r="F42" s="38" t="s">
        <v>848</v>
      </c>
      <c r="G42" s="38" t="s">
        <v>849</v>
      </c>
      <c r="H42" s="38" t="s">
        <v>41</v>
      </c>
      <c r="I42" s="38">
        <v>3</v>
      </c>
      <c r="J42" s="38" t="s">
        <v>87</v>
      </c>
      <c r="K42" s="17">
        <v>1</v>
      </c>
    </row>
    <row r="43" spans="1:11" ht="15" customHeight="1" x14ac:dyDescent="0.25">
      <c r="A43" s="40">
        <v>46302</v>
      </c>
      <c r="B43" s="38" t="s">
        <v>17</v>
      </c>
      <c r="C43" s="38" t="s">
        <v>877</v>
      </c>
      <c r="D43" s="38">
        <v>2890</v>
      </c>
      <c r="E43" s="38" t="s">
        <v>385</v>
      </c>
      <c r="F43" s="38" t="s">
        <v>848</v>
      </c>
      <c r="G43" s="38" t="s">
        <v>879</v>
      </c>
      <c r="H43" s="38" t="s">
        <v>41</v>
      </c>
      <c r="I43" s="38">
        <v>3</v>
      </c>
      <c r="J43" s="38" t="s">
        <v>209</v>
      </c>
      <c r="K43" s="17">
        <v>1</v>
      </c>
    </row>
    <row r="44" spans="1:11" ht="15" customHeight="1" x14ac:dyDescent="0.25">
      <c r="A44" s="40">
        <v>46314</v>
      </c>
      <c r="B44" s="38" t="s">
        <v>17</v>
      </c>
      <c r="C44" s="38" t="s">
        <v>942</v>
      </c>
      <c r="D44" s="38">
        <v>7493</v>
      </c>
      <c r="E44" s="38" t="s">
        <v>693</v>
      </c>
      <c r="F44" s="38" t="s">
        <v>743</v>
      </c>
      <c r="G44" s="38" t="s">
        <v>944</v>
      </c>
      <c r="H44" s="38" t="s">
        <v>41</v>
      </c>
      <c r="I44" s="38">
        <v>3</v>
      </c>
      <c r="J44" s="38" t="s">
        <v>945</v>
      </c>
      <c r="K44" s="17">
        <v>1</v>
      </c>
    </row>
    <row r="45" spans="1:11" ht="15" customHeight="1" x14ac:dyDescent="0.25">
      <c r="A45" s="40">
        <v>46314</v>
      </c>
      <c r="B45" s="38" t="s">
        <v>17</v>
      </c>
      <c r="C45" s="38" t="s">
        <v>946</v>
      </c>
      <c r="D45" s="38">
        <v>7431</v>
      </c>
      <c r="E45" s="38" t="s">
        <v>693</v>
      </c>
      <c r="F45" s="38" t="s">
        <v>743</v>
      </c>
      <c r="G45" s="38" t="s">
        <v>948</v>
      </c>
      <c r="H45" s="38" t="s">
        <v>41</v>
      </c>
      <c r="I45" s="38">
        <v>2</v>
      </c>
      <c r="J45" s="38" t="s">
        <v>949</v>
      </c>
      <c r="K45" s="17">
        <v>1</v>
      </c>
    </row>
    <row r="46" spans="1:11" ht="15" customHeight="1" x14ac:dyDescent="0.25">
      <c r="A46" s="40">
        <v>46315</v>
      </c>
      <c r="B46" s="38" t="s">
        <v>17</v>
      </c>
      <c r="C46" s="38" t="s">
        <v>950</v>
      </c>
      <c r="D46" s="38">
        <v>7456</v>
      </c>
      <c r="E46" s="38" t="s">
        <v>693</v>
      </c>
      <c r="F46" s="38" t="s">
        <v>743</v>
      </c>
      <c r="G46" s="38" t="s">
        <v>952</v>
      </c>
      <c r="H46" s="38" t="s">
        <v>41</v>
      </c>
      <c r="I46" s="38">
        <v>6</v>
      </c>
      <c r="J46" s="38" t="s">
        <v>161</v>
      </c>
      <c r="K46" s="17">
        <v>1</v>
      </c>
    </row>
    <row r="47" spans="1:11" ht="15" customHeight="1" x14ac:dyDescent="0.25">
      <c r="A47" s="40">
        <v>46316</v>
      </c>
      <c r="B47" s="38" t="s">
        <v>17</v>
      </c>
      <c r="C47" s="38" t="s">
        <v>971</v>
      </c>
      <c r="D47" s="38">
        <v>7447</v>
      </c>
      <c r="E47" s="38" t="s">
        <v>693</v>
      </c>
      <c r="F47" s="38" t="s">
        <v>743</v>
      </c>
      <c r="G47" s="38" t="s">
        <v>973</v>
      </c>
      <c r="H47" s="38" t="s">
        <v>41</v>
      </c>
      <c r="I47" s="38">
        <v>4</v>
      </c>
      <c r="J47" s="38" t="s">
        <v>209</v>
      </c>
      <c r="K47" s="17">
        <v>1</v>
      </c>
    </row>
    <row r="48" spans="1:11" ht="15" customHeight="1" x14ac:dyDescent="0.25">
      <c r="A48" s="40">
        <v>46316</v>
      </c>
      <c r="B48" s="38" t="s">
        <v>17</v>
      </c>
      <c r="C48" s="38" t="s">
        <v>980</v>
      </c>
      <c r="D48" s="38">
        <v>301473</v>
      </c>
      <c r="E48" s="38" t="s">
        <v>693</v>
      </c>
      <c r="F48" s="38" t="s">
        <v>743</v>
      </c>
      <c r="G48" s="38" t="s">
        <v>982</v>
      </c>
      <c r="H48" s="38" t="s">
        <v>41</v>
      </c>
      <c r="I48" s="38">
        <v>3</v>
      </c>
      <c r="J48" s="38" t="s">
        <v>78</v>
      </c>
      <c r="K48" s="17">
        <v>1</v>
      </c>
    </row>
    <row r="49" spans="1:11" ht="15" customHeight="1" x14ac:dyDescent="0.25">
      <c r="A49" s="40">
        <v>46317</v>
      </c>
      <c r="B49" s="38" t="s">
        <v>17</v>
      </c>
      <c r="C49" s="38" t="s">
        <v>995</v>
      </c>
      <c r="D49" s="38">
        <v>7495</v>
      </c>
      <c r="E49" s="38" t="s">
        <v>693</v>
      </c>
      <c r="F49" s="38" t="s">
        <v>743</v>
      </c>
      <c r="G49" s="38" t="s">
        <v>997</v>
      </c>
      <c r="H49" s="38" t="s">
        <v>41</v>
      </c>
      <c r="I49" s="38">
        <v>2</v>
      </c>
      <c r="J49" s="38" t="s">
        <v>808</v>
      </c>
      <c r="K49" s="17">
        <v>1</v>
      </c>
    </row>
  </sheetData>
  <autoFilter ref="A1:K49" xr:uid="{00000000-0001-0000-0500-000000000000}">
    <sortState xmlns:xlrd2="http://schemas.microsoft.com/office/spreadsheetml/2017/richdata2" ref="A2:K49">
      <sortCondition ref="A1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961A-A19C-41FF-9445-5B4A841C157C}">
  <sheetPr>
    <tabColor rgb="FF92D050"/>
  </sheetPr>
  <dimension ref="A1:N51"/>
  <sheetViews>
    <sheetView workbookViewId="0">
      <selection activeCell="N2" sqref="N2"/>
    </sheetView>
  </sheetViews>
  <sheetFormatPr defaultRowHeight="15" x14ac:dyDescent="0.25"/>
  <cols>
    <col min="2" max="2" width="12.42578125" customWidth="1"/>
    <col min="3" max="3" width="15.140625" customWidth="1"/>
    <col min="4" max="4" width="14.140625" customWidth="1"/>
    <col min="5" max="5" width="14.7109375" customWidth="1"/>
    <col min="6" max="6" width="12.5703125" customWidth="1"/>
    <col min="7" max="7" width="56.28515625" bestFit="1" customWidth="1"/>
    <col min="8" max="8" width="14.85546875" customWidth="1"/>
    <col min="9" max="9" width="15" customWidth="1"/>
    <col min="10" max="10" width="13.5703125" customWidth="1"/>
    <col min="13" max="13" width="15.85546875" bestFit="1" customWidth="1"/>
  </cols>
  <sheetData>
    <row r="1" spans="1:14" ht="25.5" x14ac:dyDescent="0.25">
      <c r="A1" s="16" t="s">
        <v>45</v>
      </c>
      <c r="B1" s="16" t="s">
        <v>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39</v>
      </c>
      <c r="I1" s="16" t="s">
        <v>51</v>
      </c>
      <c r="J1" s="16" t="s">
        <v>52</v>
      </c>
      <c r="K1" t="s">
        <v>1005</v>
      </c>
      <c r="M1" t="s">
        <v>1006</v>
      </c>
      <c r="N1">
        <f>SUM(I2:I51)</f>
        <v>145</v>
      </c>
    </row>
    <row r="2" spans="1:14" s="23" customFormat="1" x14ac:dyDescent="0.25">
      <c r="A2" s="20">
        <v>46251</v>
      </c>
      <c r="B2" s="21" t="s">
        <v>15</v>
      </c>
      <c r="C2" s="21" t="s">
        <v>130</v>
      </c>
      <c r="D2" s="21" t="s">
        <v>131</v>
      </c>
      <c r="E2" s="21" t="s">
        <v>132</v>
      </c>
      <c r="F2" s="21" t="s">
        <v>133</v>
      </c>
      <c r="G2" s="21" t="s">
        <v>134</v>
      </c>
      <c r="H2" s="21" t="s">
        <v>41</v>
      </c>
      <c r="I2" s="22">
        <v>6</v>
      </c>
      <c r="J2" s="21" t="s">
        <v>135</v>
      </c>
      <c r="K2" s="23">
        <v>1</v>
      </c>
    </row>
    <row r="3" spans="1:14" s="23" customFormat="1" x14ac:dyDescent="0.25">
      <c r="A3" s="20">
        <v>46251</v>
      </c>
      <c r="B3" s="21" t="s">
        <v>16</v>
      </c>
      <c r="C3" s="21" t="s">
        <v>136</v>
      </c>
      <c r="D3" s="21" t="s">
        <v>137</v>
      </c>
      <c r="E3" s="21" t="s">
        <v>138</v>
      </c>
      <c r="F3" s="21" t="s">
        <v>139</v>
      </c>
      <c r="G3" s="21" t="s">
        <v>140</v>
      </c>
      <c r="H3" s="21" t="s">
        <v>41</v>
      </c>
      <c r="I3" s="22">
        <v>3</v>
      </c>
      <c r="J3" s="21" t="s">
        <v>141</v>
      </c>
      <c r="K3" s="23">
        <v>1</v>
      </c>
    </row>
    <row r="4" spans="1:14" s="23" customFormat="1" x14ac:dyDescent="0.25">
      <c r="A4" s="20">
        <v>46251</v>
      </c>
      <c r="B4" s="21" t="s">
        <v>16</v>
      </c>
      <c r="C4" s="21" t="s">
        <v>142</v>
      </c>
      <c r="D4" s="21" t="s">
        <v>143</v>
      </c>
      <c r="E4" s="21" t="s">
        <v>138</v>
      </c>
      <c r="F4" s="21" t="s">
        <v>144</v>
      </c>
      <c r="G4" s="21" t="s">
        <v>145</v>
      </c>
      <c r="H4" s="21" t="s">
        <v>41</v>
      </c>
      <c r="I4" s="22">
        <v>2</v>
      </c>
      <c r="J4" s="21" t="s">
        <v>146</v>
      </c>
      <c r="K4" s="23">
        <v>1</v>
      </c>
    </row>
    <row r="5" spans="1:14" s="23" customFormat="1" x14ac:dyDescent="0.25">
      <c r="A5" s="20">
        <v>46252</v>
      </c>
      <c r="B5" s="21" t="s">
        <v>16</v>
      </c>
      <c r="C5" s="21" t="s">
        <v>149</v>
      </c>
      <c r="D5" s="21" t="s">
        <v>150</v>
      </c>
      <c r="E5" s="21" t="s">
        <v>138</v>
      </c>
      <c r="F5" s="21" t="s">
        <v>151</v>
      </c>
      <c r="G5" s="21" t="s">
        <v>152</v>
      </c>
      <c r="H5" s="21" t="s">
        <v>41</v>
      </c>
      <c r="I5" s="22">
        <v>9</v>
      </c>
      <c r="J5" s="21" t="s">
        <v>1007</v>
      </c>
      <c r="K5" s="23">
        <v>1</v>
      </c>
    </row>
    <row r="6" spans="1:14" s="23" customFormat="1" x14ac:dyDescent="0.25">
      <c r="A6" s="20">
        <v>46252</v>
      </c>
      <c r="B6" s="21" t="s">
        <v>15</v>
      </c>
      <c r="C6" s="21" t="s">
        <v>154</v>
      </c>
      <c r="D6" s="21" t="s">
        <v>155</v>
      </c>
      <c r="E6" s="21" t="s">
        <v>132</v>
      </c>
      <c r="F6" s="21" t="s">
        <v>133</v>
      </c>
      <c r="G6" s="21" t="s">
        <v>156</v>
      </c>
      <c r="H6" s="21" t="s">
        <v>41</v>
      </c>
      <c r="I6" s="22">
        <v>6</v>
      </c>
      <c r="J6" s="21" t="s">
        <v>157</v>
      </c>
      <c r="K6" s="23">
        <v>1</v>
      </c>
    </row>
    <row r="7" spans="1:14" s="23" customFormat="1" x14ac:dyDescent="0.25">
      <c r="A7" s="20">
        <v>46252</v>
      </c>
      <c r="B7" s="21" t="s">
        <v>16</v>
      </c>
      <c r="C7" s="21" t="s">
        <v>162</v>
      </c>
      <c r="D7" s="21" t="s">
        <v>163</v>
      </c>
      <c r="E7" s="21" t="s">
        <v>138</v>
      </c>
      <c r="F7" s="21" t="s">
        <v>144</v>
      </c>
      <c r="G7" s="21" t="s">
        <v>164</v>
      </c>
      <c r="H7" s="21" t="s">
        <v>41</v>
      </c>
      <c r="I7" s="22">
        <v>3</v>
      </c>
      <c r="J7" s="21" t="s">
        <v>782</v>
      </c>
      <c r="K7" s="23">
        <v>1</v>
      </c>
    </row>
    <row r="8" spans="1:14" s="23" customFormat="1" x14ac:dyDescent="0.25">
      <c r="A8" s="20">
        <v>46252</v>
      </c>
      <c r="B8" s="21" t="s">
        <v>15</v>
      </c>
      <c r="C8" s="21" t="s">
        <v>166</v>
      </c>
      <c r="D8" s="21" t="s">
        <v>167</v>
      </c>
      <c r="E8" s="21" t="s">
        <v>132</v>
      </c>
      <c r="F8" s="21" t="s">
        <v>133</v>
      </c>
      <c r="G8" s="21" t="s">
        <v>168</v>
      </c>
      <c r="H8" s="21" t="s">
        <v>43</v>
      </c>
      <c r="I8" s="22">
        <v>2</v>
      </c>
      <c r="J8" s="21" t="s">
        <v>169</v>
      </c>
      <c r="K8" s="23">
        <v>1</v>
      </c>
    </row>
    <row r="9" spans="1:14" s="23" customFormat="1" x14ac:dyDescent="0.25">
      <c r="A9" s="20">
        <v>46252</v>
      </c>
      <c r="B9" s="21" t="s">
        <v>15</v>
      </c>
      <c r="C9" s="21" t="s">
        <v>170</v>
      </c>
      <c r="D9" s="21" t="s">
        <v>133</v>
      </c>
      <c r="E9" s="21" t="s">
        <v>132</v>
      </c>
      <c r="F9" s="21" t="s">
        <v>133</v>
      </c>
      <c r="G9" s="21" t="s">
        <v>171</v>
      </c>
      <c r="H9" s="21" t="s">
        <v>42</v>
      </c>
      <c r="I9" s="22">
        <v>2</v>
      </c>
      <c r="J9" s="21" t="s">
        <v>172</v>
      </c>
      <c r="K9" s="23">
        <v>1</v>
      </c>
    </row>
    <row r="10" spans="1:14" s="23" customFormat="1" x14ac:dyDescent="0.25">
      <c r="A10" s="20">
        <v>46253</v>
      </c>
      <c r="B10" s="21" t="s">
        <v>16</v>
      </c>
      <c r="C10" s="21" t="s">
        <v>173</v>
      </c>
      <c r="D10" s="21" t="s">
        <v>174</v>
      </c>
      <c r="E10" s="21" t="s">
        <v>138</v>
      </c>
      <c r="F10" s="21" t="s">
        <v>144</v>
      </c>
      <c r="G10" s="21" t="s">
        <v>175</v>
      </c>
      <c r="H10" s="21" t="s">
        <v>41</v>
      </c>
      <c r="I10" s="22">
        <v>6</v>
      </c>
      <c r="J10" s="21" t="s">
        <v>176</v>
      </c>
      <c r="K10" s="23">
        <v>1</v>
      </c>
    </row>
    <row r="11" spans="1:14" s="23" customFormat="1" x14ac:dyDescent="0.25">
      <c r="A11" s="20">
        <v>46253</v>
      </c>
      <c r="B11" s="21" t="s">
        <v>16</v>
      </c>
      <c r="C11" s="21" t="s">
        <v>178</v>
      </c>
      <c r="D11" s="21" t="s">
        <v>179</v>
      </c>
      <c r="E11" s="21" t="s">
        <v>138</v>
      </c>
      <c r="F11" s="21" t="s">
        <v>180</v>
      </c>
      <c r="G11" s="21" t="s">
        <v>181</v>
      </c>
      <c r="H11" s="21" t="s">
        <v>41</v>
      </c>
      <c r="I11" s="22">
        <v>5</v>
      </c>
      <c r="J11" s="21" t="s">
        <v>182</v>
      </c>
      <c r="K11" s="23">
        <v>1</v>
      </c>
    </row>
    <row r="12" spans="1:14" s="23" customFormat="1" x14ac:dyDescent="0.25">
      <c r="A12" s="20">
        <v>46253</v>
      </c>
      <c r="B12" s="21" t="s">
        <v>15</v>
      </c>
      <c r="C12" s="21" t="s">
        <v>183</v>
      </c>
      <c r="D12" s="21" t="s">
        <v>184</v>
      </c>
      <c r="E12" s="21" t="s">
        <v>132</v>
      </c>
      <c r="F12" s="21" t="s">
        <v>185</v>
      </c>
      <c r="G12" s="21" t="s">
        <v>186</v>
      </c>
      <c r="H12" s="21" t="s">
        <v>41</v>
      </c>
      <c r="I12" s="22">
        <v>6</v>
      </c>
      <c r="J12" s="21" t="s">
        <v>176</v>
      </c>
      <c r="K12" s="23">
        <v>1</v>
      </c>
    </row>
    <row r="13" spans="1:14" s="23" customFormat="1" x14ac:dyDescent="0.25">
      <c r="A13" s="20">
        <v>46253</v>
      </c>
      <c r="B13" s="21" t="s">
        <v>15</v>
      </c>
      <c r="C13" s="21" t="s">
        <v>190</v>
      </c>
      <c r="D13" s="21" t="s">
        <v>191</v>
      </c>
      <c r="E13" s="21" t="s">
        <v>132</v>
      </c>
      <c r="F13" s="21" t="s">
        <v>192</v>
      </c>
      <c r="G13" s="21" t="s">
        <v>193</v>
      </c>
      <c r="H13" s="21" t="s">
        <v>41</v>
      </c>
      <c r="I13" s="22">
        <v>1</v>
      </c>
      <c r="J13" s="21" t="s">
        <v>194</v>
      </c>
      <c r="K13" s="23">
        <v>1</v>
      </c>
    </row>
    <row r="14" spans="1:14" s="23" customFormat="1" x14ac:dyDescent="0.25">
      <c r="A14" s="20">
        <v>46253</v>
      </c>
      <c r="B14" s="21" t="s">
        <v>15</v>
      </c>
      <c r="C14" s="21" t="s">
        <v>195</v>
      </c>
      <c r="D14" s="21" t="s">
        <v>196</v>
      </c>
      <c r="E14" s="21" t="s">
        <v>132</v>
      </c>
      <c r="F14" s="21" t="s">
        <v>192</v>
      </c>
      <c r="G14" s="21" t="s">
        <v>197</v>
      </c>
      <c r="H14" s="21" t="s">
        <v>43</v>
      </c>
      <c r="I14" s="22">
        <v>1</v>
      </c>
      <c r="J14" s="21" t="s">
        <v>96</v>
      </c>
      <c r="K14" s="23">
        <v>1</v>
      </c>
    </row>
    <row r="15" spans="1:14" s="23" customFormat="1" x14ac:dyDescent="0.25">
      <c r="A15" s="20">
        <v>46254</v>
      </c>
      <c r="B15" s="21" t="s">
        <v>15</v>
      </c>
      <c r="C15" s="21" t="s">
        <v>198</v>
      </c>
      <c r="D15" s="21" t="s">
        <v>199</v>
      </c>
      <c r="E15" s="21" t="s">
        <v>132</v>
      </c>
      <c r="F15" s="21" t="s">
        <v>200</v>
      </c>
      <c r="G15" s="21" t="s">
        <v>201</v>
      </c>
      <c r="H15" s="21" t="s">
        <v>41</v>
      </c>
      <c r="I15" s="22">
        <v>6</v>
      </c>
      <c r="J15" s="21" t="s">
        <v>202</v>
      </c>
      <c r="K15" s="23">
        <v>1</v>
      </c>
    </row>
    <row r="16" spans="1:14" s="23" customFormat="1" x14ac:dyDescent="0.25">
      <c r="A16" s="20">
        <v>46254</v>
      </c>
      <c r="B16" s="21" t="s">
        <v>16</v>
      </c>
      <c r="C16" s="21" t="s">
        <v>203</v>
      </c>
      <c r="D16" s="21" t="s">
        <v>204</v>
      </c>
      <c r="E16" s="21" t="s">
        <v>138</v>
      </c>
      <c r="F16" s="21" t="s">
        <v>144</v>
      </c>
      <c r="G16" s="21" t="s">
        <v>205</v>
      </c>
      <c r="H16" s="21" t="s">
        <v>41</v>
      </c>
      <c r="I16" s="22">
        <v>5</v>
      </c>
      <c r="J16" s="21" t="s">
        <v>182</v>
      </c>
      <c r="K16" s="23">
        <v>1</v>
      </c>
    </row>
    <row r="17" spans="1:11" s="23" customFormat="1" x14ac:dyDescent="0.25">
      <c r="A17" s="20">
        <v>46254</v>
      </c>
      <c r="B17" s="21" t="s">
        <v>15</v>
      </c>
      <c r="C17" s="21" t="s">
        <v>210</v>
      </c>
      <c r="D17" s="21" t="s">
        <v>211</v>
      </c>
      <c r="E17" s="21" t="s">
        <v>132</v>
      </c>
      <c r="F17" s="21" t="s">
        <v>200</v>
      </c>
      <c r="G17" s="21" t="s">
        <v>212</v>
      </c>
      <c r="H17" s="21" t="s">
        <v>41</v>
      </c>
      <c r="I17" s="22">
        <v>3</v>
      </c>
      <c r="J17" s="21" t="s">
        <v>108</v>
      </c>
      <c r="K17" s="23">
        <v>1</v>
      </c>
    </row>
    <row r="18" spans="1:11" s="23" customFormat="1" x14ac:dyDescent="0.25">
      <c r="A18" s="20">
        <v>46255</v>
      </c>
      <c r="B18" s="21" t="s">
        <v>15</v>
      </c>
      <c r="C18" s="21" t="s">
        <v>220</v>
      </c>
      <c r="D18" s="21" t="s">
        <v>221</v>
      </c>
      <c r="E18" s="21" t="s">
        <v>132</v>
      </c>
      <c r="F18" s="21" t="s">
        <v>185</v>
      </c>
      <c r="G18" s="21" t="s">
        <v>222</v>
      </c>
      <c r="H18" s="21" t="s">
        <v>43</v>
      </c>
      <c r="I18" s="22">
        <v>1</v>
      </c>
      <c r="J18" s="21" t="s">
        <v>223</v>
      </c>
      <c r="K18" s="23">
        <v>1</v>
      </c>
    </row>
    <row r="19" spans="1:11" s="23" customFormat="1" x14ac:dyDescent="0.25">
      <c r="A19" s="20">
        <v>46255</v>
      </c>
      <c r="B19" s="21" t="s">
        <v>15</v>
      </c>
      <c r="C19" s="21" t="s">
        <v>224</v>
      </c>
      <c r="D19" s="21" t="s">
        <v>225</v>
      </c>
      <c r="E19" s="21" t="s">
        <v>132</v>
      </c>
      <c r="F19" s="21" t="s">
        <v>185</v>
      </c>
      <c r="G19" s="21" t="s">
        <v>226</v>
      </c>
      <c r="H19" s="21" t="s">
        <v>43</v>
      </c>
      <c r="I19" s="22">
        <v>1</v>
      </c>
      <c r="J19" s="21" t="s">
        <v>227</v>
      </c>
      <c r="K19" s="23">
        <v>1</v>
      </c>
    </row>
    <row r="20" spans="1:11" s="23" customFormat="1" x14ac:dyDescent="0.25">
      <c r="A20" s="20">
        <v>46258</v>
      </c>
      <c r="B20" s="21" t="s">
        <v>15</v>
      </c>
      <c r="C20" s="21" t="s">
        <v>228</v>
      </c>
      <c r="D20" s="21" t="s">
        <v>229</v>
      </c>
      <c r="E20" s="21" t="s">
        <v>132</v>
      </c>
      <c r="F20" s="21" t="s">
        <v>230</v>
      </c>
      <c r="G20" s="21" t="s">
        <v>231</v>
      </c>
      <c r="H20" s="21" t="s">
        <v>41</v>
      </c>
      <c r="I20" s="22">
        <v>5</v>
      </c>
      <c r="J20" s="21" t="s">
        <v>232</v>
      </c>
      <c r="K20" s="23">
        <v>2</v>
      </c>
    </row>
    <row r="21" spans="1:11" s="23" customFormat="1" x14ac:dyDescent="0.25">
      <c r="A21" s="20">
        <v>46258</v>
      </c>
      <c r="B21" s="21" t="s">
        <v>16</v>
      </c>
      <c r="C21" s="21" t="s">
        <v>233</v>
      </c>
      <c r="D21" s="21" t="s">
        <v>234</v>
      </c>
      <c r="E21" s="21" t="s">
        <v>138</v>
      </c>
      <c r="F21" s="21" t="s">
        <v>144</v>
      </c>
      <c r="G21" s="21" t="s">
        <v>235</v>
      </c>
      <c r="H21" s="21" t="s">
        <v>43</v>
      </c>
      <c r="I21" s="22">
        <v>4</v>
      </c>
      <c r="J21" s="21" t="s">
        <v>236</v>
      </c>
      <c r="K21" s="23">
        <v>2</v>
      </c>
    </row>
    <row r="22" spans="1:11" s="23" customFormat="1" x14ac:dyDescent="0.25">
      <c r="A22" s="20">
        <v>46258</v>
      </c>
      <c r="B22" s="21" t="s">
        <v>15</v>
      </c>
      <c r="C22" s="21" t="s">
        <v>237</v>
      </c>
      <c r="D22" s="21" t="s">
        <v>238</v>
      </c>
      <c r="E22" s="21" t="s">
        <v>132</v>
      </c>
      <c r="F22" s="21" t="s">
        <v>200</v>
      </c>
      <c r="G22" s="21" t="s">
        <v>239</v>
      </c>
      <c r="H22" s="21" t="s">
        <v>43</v>
      </c>
      <c r="I22" s="22">
        <v>3</v>
      </c>
      <c r="J22" s="21" t="s">
        <v>240</v>
      </c>
      <c r="K22" s="23">
        <v>2</v>
      </c>
    </row>
    <row r="23" spans="1:11" s="28" customFormat="1" x14ac:dyDescent="0.25">
      <c r="A23" s="25">
        <v>46258</v>
      </c>
      <c r="B23" s="26" t="s">
        <v>15</v>
      </c>
      <c r="C23" s="26" t="s">
        <v>241</v>
      </c>
      <c r="D23" s="26" t="s">
        <v>242</v>
      </c>
      <c r="E23" s="26" t="s">
        <v>132</v>
      </c>
      <c r="F23" s="26" t="s">
        <v>230</v>
      </c>
      <c r="G23" s="26" t="s">
        <v>243</v>
      </c>
      <c r="H23" s="26" t="s">
        <v>41</v>
      </c>
      <c r="I23" s="27">
        <v>1</v>
      </c>
      <c r="J23" s="26" t="s">
        <v>244</v>
      </c>
      <c r="K23" s="28">
        <v>2</v>
      </c>
    </row>
    <row r="24" spans="1:11" s="28" customFormat="1" x14ac:dyDescent="0.25">
      <c r="A24" s="25">
        <v>46259</v>
      </c>
      <c r="B24" s="26" t="s">
        <v>15</v>
      </c>
      <c r="C24" s="26" t="s">
        <v>250</v>
      </c>
      <c r="D24" s="26" t="s">
        <v>251</v>
      </c>
      <c r="E24" s="26" t="s">
        <v>252</v>
      </c>
      <c r="F24" s="26" t="s">
        <v>253</v>
      </c>
      <c r="G24" s="26" t="s">
        <v>254</v>
      </c>
      <c r="H24" s="26" t="s">
        <v>41</v>
      </c>
      <c r="I24" s="27">
        <v>6</v>
      </c>
      <c r="J24" s="26" t="s">
        <v>135</v>
      </c>
      <c r="K24" s="28">
        <v>2</v>
      </c>
    </row>
    <row r="25" spans="1:11" s="28" customFormat="1" x14ac:dyDescent="0.25">
      <c r="A25" s="25">
        <v>46259</v>
      </c>
      <c r="B25" s="26" t="s">
        <v>16</v>
      </c>
      <c r="C25" s="26" t="s">
        <v>258</v>
      </c>
      <c r="D25" s="26" t="s">
        <v>259</v>
      </c>
      <c r="E25" s="26" t="s">
        <v>138</v>
      </c>
      <c r="F25" s="26" t="s">
        <v>260</v>
      </c>
      <c r="G25" s="26" t="s">
        <v>261</v>
      </c>
      <c r="H25" s="26" t="s">
        <v>41</v>
      </c>
      <c r="I25" s="27">
        <v>3</v>
      </c>
      <c r="J25" s="26" t="s">
        <v>262</v>
      </c>
      <c r="K25" s="28">
        <v>2</v>
      </c>
    </row>
    <row r="26" spans="1:11" s="28" customFormat="1" x14ac:dyDescent="0.25">
      <c r="A26" s="25">
        <v>46259</v>
      </c>
      <c r="B26" s="26" t="s">
        <v>16</v>
      </c>
      <c r="C26" s="26" t="s">
        <v>263</v>
      </c>
      <c r="D26" s="26" t="s">
        <v>264</v>
      </c>
      <c r="E26" s="26" t="s">
        <v>138</v>
      </c>
      <c r="F26" s="26" t="s">
        <v>265</v>
      </c>
      <c r="G26" s="26" t="s">
        <v>266</v>
      </c>
      <c r="H26" s="26" t="s">
        <v>41</v>
      </c>
      <c r="I26" s="27">
        <v>2</v>
      </c>
      <c r="J26" s="26" t="s">
        <v>267</v>
      </c>
      <c r="K26" s="28">
        <v>2</v>
      </c>
    </row>
    <row r="27" spans="1:11" s="28" customFormat="1" x14ac:dyDescent="0.25">
      <c r="A27" s="25">
        <v>46259</v>
      </c>
      <c r="B27" s="26" t="s">
        <v>16</v>
      </c>
      <c r="C27" s="26" t="s">
        <v>268</v>
      </c>
      <c r="D27" s="26" t="s">
        <v>269</v>
      </c>
      <c r="E27" s="26" t="s">
        <v>138</v>
      </c>
      <c r="F27" s="26" t="s">
        <v>270</v>
      </c>
      <c r="G27" s="26" t="s">
        <v>271</v>
      </c>
      <c r="H27" s="26" t="s">
        <v>41</v>
      </c>
      <c r="I27" s="27">
        <v>2</v>
      </c>
      <c r="J27" s="26" t="s">
        <v>272</v>
      </c>
      <c r="K27" s="28">
        <v>2</v>
      </c>
    </row>
    <row r="28" spans="1:11" s="28" customFormat="1" x14ac:dyDescent="0.25">
      <c r="A28" s="25">
        <v>46259</v>
      </c>
      <c r="B28" s="26" t="s">
        <v>16</v>
      </c>
      <c r="C28" s="26" t="s">
        <v>273</v>
      </c>
      <c r="D28" s="26" t="s">
        <v>274</v>
      </c>
      <c r="E28" s="26" t="s">
        <v>138</v>
      </c>
      <c r="F28" s="26" t="s">
        <v>265</v>
      </c>
      <c r="G28" s="26" t="s">
        <v>275</v>
      </c>
      <c r="H28" s="26" t="s">
        <v>43</v>
      </c>
      <c r="I28" s="27">
        <v>1</v>
      </c>
      <c r="J28" s="26" t="s">
        <v>223</v>
      </c>
      <c r="K28" s="28">
        <v>2</v>
      </c>
    </row>
    <row r="29" spans="1:11" s="28" customFormat="1" x14ac:dyDescent="0.25">
      <c r="A29" s="25">
        <v>46259</v>
      </c>
      <c r="B29" s="26" t="s">
        <v>15</v>
      </c>
      <c r="C29" s="26" t="s">
        <v>276</v>
      </c>
      <c r="D29" s="26" t="s">
        <v>277</v>
      </c>
      <c r="E29" s="26" t="s">
        <v>252</v>
      </c>
      <c r="F29" s="26" t="s">
        <v>253</v>
      </c>
      <c r="G29" s="26" t="s">
        <v>278</v>
      </c>
      <c r="H29" s="26" t="s">
        <v>43</v>
      </c>
      <c r="I29" s="27">
        <v>1</v>
      </c>
      <c r="J29" s="26" t="s">
        <v>279</v>
      </c>
      <c r="K29" s="28">
        <v>2</v>
      </c>
    </row>
    <row r="30" spans="1:11" s="28" customFormat="1" x14ac:dyDescent="0.25">
      <c r="A30" s="25">
        <v>46259</v>
      </c>
      <c r="B30" s="26" t="s">
        <v>15</v>
      </c>
      <c r="C30" s="26" t="s">
        <v>280</v>
      </c>
      <c r="D30" s="26" t="s">
        <v>281</v>
      </c>
      <c r="E30" s="26" t="s">
        <v>132</v>
      </c>
      <c r="F30" s="26" t="s">
        <v>230</v>
      </c>
      <c r="G30" s="26" t="s">
        <v>282</v>
      </c>
      <c r="H30" s="26" t="s">
        <v>43</v>
      </c>
      <c r="I30" s="27">
        <v>1</v>
      </c>
      <c r="J30" s="26" t="s">
        <v>101</v>
      </c>
      <c r="K30" s="28">
        <v>2</v>
      </c>
    </row>
    <row r="31" spans="1:11" s="28" customFormat="1" x14ac:dyDescent="0.25">
      <c r="A31" s="25">
        <v>46260</v>
      </c>
      <c r="B31" s="26" t="s">
        <v>15</v>
      </c>
      <c r="C31" s="26" t="s">
        <v>284</v>
      </c>
      <c r="D31" s="26" t="s">
        <v>285</v>
      </c>
      <c r="E31" s="26" t="s">
        <v>252</v>
      </c>
      <c r="F31" s="26" t="s">
        <v>286</v>
      </c>
      <c r="G31" s="26" t="s">
        <v>287</v>
      </c>
      <c r="H31" s="26" t="s">
        <v>41</v>
      </c>
      <c r="I31" s="27">
        <v>5</v>
      </c>
      <c r="J31" s="26" t="s">
        <v>288</v>
      </c>
      <c r="K31" s="28">
        <v>2</v>
      </c>
    </row>
    <row r="32" spans="1:11" s="28" customFormat="1" x14ac:dyDescent="0.25">
      <c r="A32" s="25">
        <v>46260</v>
      </c>
      <c r="B32" s="26" t="s">
        <v>16</v>
      </c>
      <c r="C32" s="26" t="s">
        <v>289</v>
      </c>
      <c r="D32" s="26" t="s">
        <v>290</v>
      </c>
      <c r="E32" s="26" t="s">
        <v>138</v>
      </c>
      <c r="F32" s="26" t="s">
        <v>291</v>
      </c>
      <c r="G32" s="26" t="s">
        <v>292</v>
      </c>
      <c r="H32" s="26" t="s">
        <v>41</v>
      </c>
      <c r="I32" s="27">
        <v>3</v>
      </c>
      <c r="J32" s="26" t="s">
        <v>293</v>
      </c>
      <c r="K32" s="28">
        <v>2</v>
      </c>
    </row>
    <row r="33" spans="1:11" s="28" customFormat="1" x14ac:dyDescent="0.25">
      <c r="A33" s="25">
        <v>46260</v>
      </c>
      <c r="B33" s="26" t="s">
        <v>15</v>
      </c>
      <c r="C33" s="26" t="s">
        <v>294</v>
      </c>
      <c r="D33" s="26" t="s">
        <v>295</v>
      </c>
      <c r="E33" s="26" t="s">
        <v>252</v>
      </c>
      <c r="F33" s="26" t="s">
        <v>286</v>
      </c>
      <c r="G33" s="26" t="s">
        <v>296</v>
      </c>
      <c r="H33" s="26" t="s">
        <v>41</v>
      </c>
      <c r="I33" s="27">
        <v>2</v>
      </c>
      <c r="J33" s="26" t="s">
        <v>297</v>
      </c>
      <c r="K33" s="28">
        <v>2</v>
      </c>
    </row>
    <row r="34" spans="1:11" s="28" customFormat="1" x14ac:dyDescent="0.25">
      <c r="A34" s="25">
        <v>46260</v>
      </c>
      <c r="B34" s="26" t="s">
        <v>16</v>
      </c>
      <c r="C34" s="26" t="s">
        <v>298</v>
      </c>
      <c r="D34" s="26" t="s">
        <v>299</v>
      </c>
      <c r="E34" s="26" t="s">
        <v>138</v>
      </c>
      <c r="F34" s="26" t="s">
        <v>300</v>
      </c>
      <c r="G34" s="26" t="s">
        <v>301</v>
      </c>
      <c r="H34" s="26" t="s">
        <v>41</v>
      </c>
      <c r="I34" s="27">
        <v>1</v>
      </c>
      <c r="J34" s="26" t="s">
        <v>302</v>
      </c>
      <c r="K34" s="28">
        <v>2</v>
      </c>
    </row>
    <row r="35" spans="1:11" s="28" customFormat="1" x14ac:dyDescent="0.25">
      <c r="A35" s="25">
        <v>46260</v>
      </c>
      <c r="B35" s="26" t="s">
        <v>16</v>
      </c>
      <c r="C35" s="26" t="s">
        <v>303</v>
      </c>
      <c r="D35" s="26" t="s">
        <v>304</v>
      </c>
      <c r="E35" s="26" t="s">
        <v>138</v>
      </c>
      <c r="F35" s="26" t="s">
        <v>300</v>
      </c>
      <c r="G35" s="26" t="s">
        <v>305</v>
      </c>
      <c r="H35" s="26" t="s">
        <v>43</v>
      </c>
      <c r="I35" s="27">
        <v>1</v>
      </c>
      <c r="J35" s="26" t="s">
        <v>306</v>
      </c>
      <c r="K35" s="28">
        <v>2</v>
      </c>
    </row>
    <row r="36" spans="1:11" s="28" customFormat="1" x14ac:dyDescent="0.25">
      <c r="A36" s="25">
        <v>46260</v>
      </c>
      <c r="B36" s="26" t="s">
        <v>16</v>
      </c>
      <c r="C36" s="26" t="s">
        <v>307</v>
      </c>
      <c r="D36" s="26" t="s">
        <v>308</v>
      </c>
      <c r="E36" s="26" t="s">
        <v>138</v>
      </c>
      <c r="F36" s="26" t="s">
        <v>260</v>
      </c>
      <c r="G36" s="26" t="s">
        <v>309</v>
      </c>
      <c r="H36" s="26" t="s">
        <v>43</v>
      </c>
      <c r="I36" s="27">
        <v>1</v>
      </c>
      <c r="J36" s="26" t="s">
        <v>310</v>
      </c>
      <c r="K36" s="28">
        <v>2</v>
      </c>
    </row>
    <row r="37" spans="1:11" s="28" customFormat="1" x14ac:dyDescent="0.25">
      <c r="A37" s="25">
        <v>46260</v>
      </c>
      <c r="B37" s="26" t="s">
        <v>15</v>
      </c>
      <c r="C37" s="26" t="s">
        <v>311</v>
      </c>
      <c r="D37" s="26" t="s">
        <v>312</v>
      </c>
      <c r="E37" s="26" t="s">
        <v>252</v>
      </c>
      <c r="F37" s="26" t="s">
        <v>286</v>
      </c>
      <c r="G37" s="26" t="s">
        <v>296</v>
      </c>
      <c r="H37" s="26" t="s">
        <v>43</v>
      </c>
      <c r="I37" s="27">
        <v>1</v>
      </c>
      <c r="J37" s="26" t="s">
        <v>306</v>
      </c>
      <c r="K37" s="28">
        <v>2</v>
      </c>
    </row>
    <row r="38" spans="1:11" s="28" customFormat="1" x14ac:dyDescent="0.25">
      <c r="A38" s="25">
        <v>46261</v>
      </c>
      <c r="B38" s="26" t="s">
        <v>16</v>
      </c>
      <c r="C38" s="26" t="s">
        <v>313</v>
      </c>
      <c r="D38" s="26" t="s">
        <v>314</v>
      </c>
      <c r="E38" s="26" t="s">
        <v>315</v>
      </c>
      <c r="F38" s="26" t="s">
        <v>316</v>
      </c>
      <c r="G38" s="26" t="s">
        <v>317</v>
      </c>
      <c r="H38" s="26" t="s">
        <v>41</v>
      </c>
      <c r="I38" s="27">
        <v>5</v>
      </c>
      <c r="J38" s="26" t="s">
        <v>288</v>
      </c>
      <c r="K38" s="28">
        <v>2</v>
      </c>
    </row>
    <row r="39" spans="1:11" s="28" customFormat="1" x14ac:dyDescent="0.25">
      <c r="A39" s="25">
        <v>46261</v>
      </c>
      <c r="B39" s="26" t="s">
        <v>15</v>
      </c>
      <c r="C39" s="26" t="s">
        <v>326</v>
      </c>
      <c r="D39" s="26" t="s">
        <v>327</v>
      </c>
      <c r="E39" s="26" t="s">
        <v>252</v>
      </c>
      <c r="F39" s="26" t="s">
        <v>328</v>
      </c>
      <c r="G39" s="26" t="s">
        <v>329</v>
      </c>
      <c r="H39" s="26" t="s">
        <v>41</v>
      </c>
      <c r="I39" s="27">
        <v>3</v>
      </c>
      <c r="J39" s="26" t="s">
        <v>240</v>
      </c>
      <c r="K39" s="28">
        <v>2</v>
      </c>
    </row>
    <row r="40" spans="1:11" s="28" customFormat="1" x14ac:dyDescent="0.25">
      <c r="A40" s="25">
        <v>46261</v>
      </c>
      <c r="B40" s="26" t="s">
        <v>16</v>
      </c>
      <c r="C40" s="26" t="s">
        <v>330</v>
      </c>
      <c r="D40" s="26" t="s">
        <v>331</v>
      </c>
      <c r="E40" s="26" t="s">
        <v>315</v>
      </c>
      <c r="F40" s="26" t="s">
        <v>316</v>
      </c>
      <c r="G40" s="26" t="s">
        <v>332</v>
      </c>
      <c r="H40" s="26" t="s">
        <v>41</v>
      </c>
      <c r="I40" s="27">
        <v>2</v>
      </c>
      <c r="J40" s="26" t="s">
        <v>297</v>
      </c>
      <c r="K40" s="28">
        <v>2</v>
      </c>
    </row>
    <row r="41" spans="1:11" s="28" customFormat="1" x14ac:dyDescent="0.25">
      <c r="A41" s="25">
        <v>46261</v>
      </c>
      <c r="B41" s="26" t="s">
        <v>16</v>
      </c>
      <c r="C41" s="26" t="s">
        <v>333</v>
      </c>
      <c r="D41" s="26" t="s">
        <v>334</v>
      </c>
      <c r="E41" s="26" t="s">
        <v>315</v>
      </c>
      <c r="F41" s="26" t="s">
        <v>316</v>
      </c>
      <c r="G41" s="26" t="s">
        <v>335</v>
      </c>
      <c r="H41" s="26" t="s">
        <v>43</v>
      </c>
      <c r="I41" s="27">
        <v>2</v>
      </c>
      <c r="J41" s="26" t="s">
        <v>146</v>
      </c>
      <c r="K41" s="28">
        <v>2</v>
      </c>
    </row>
    <row r="42" spans="1:11" s="28" customFormat="1" x14ac:dyDescent="0.25">
      <c r="A42" s="25">
        <v>46261</v>
      </c>
      <c r="B42" s="26" t="s">
        <v>15</v>
      </c>
      <c r="C42" s="26" t="s">
        <v>336</v>
      </c>
      <c r="D42" s="26" t="s">
        <v>337</v>
      </c>
      <c r="E42" s="26" t="s">
        <v>252</v>
      </c>
      <c r="F42" s="26" t="s">
        <v>328</v>
      </c>
      <c r="G42" s="26" t="s">
        <v>338</v>
      </c>
      <c r="H42" s="26" t="s">
        <v>43</v>
      </c>
      <c r="I42" s="27">
        <v>1</v>
      </c>
      <c r="J42" s="26" t="s">
        <v>96</v>
      </c>
      <c r="K42" s="28">
        <v>2</v>
      </c>
    </row>
    <row r="43" spans="1:11" s="28" customFormat="1" x14ac:dyDescent="0.25">
      <c r="A43" s="25">
        <v>46262</v>
      </c>
      <c r="B43" s="26" t="s">
        <v>15</v>
      </c>
      <c r="C43" s="26" t="s">
        <v>339</v>
      </c>
      <c r="D43" s="26" t="s">
        <v>340</v>
      </c>
      <c r="E43" s="26" t="s">
        <v>341</v>
      </c>
      <c r="F43" s="26" t="s">
        <v>342</v>
      </c>
      <c r="G43" s="26" t="s">
        <v>343</v>
      </c>
      <c r="H43" s="26" t="s">
        <v>41</v>
      </c>
      <c r="I43" s="27">
        <v>4</v>
      </c>
      <c r="J43" s="26" t="s">
        <v>344</v>
      </c>
      <c r="K43" s="28">
        <v>2</v>
      </c>
    </row>
    <row r="44" spans="1:11" s="28" customFormat="1" x14ac:dyDescent="0.25">
      <c r="A44" s="25">
        <v>46262</v>
      </c>
      <c r="B44" s="26" t="s">
        <v>16</v>
      </c>
      <c r="C44" s="26" t="s">
        <v>345</v>
      </c>
      <c r="D44" s="26" t="s">
        <v>346</v>
      </c>
      <c r="E44" s="26" t="s">
        <v>315</v>
      </c>
      <c r="F44" s="26" t="s">
        <v>347</v>
      </c>
      <c r="G44" s="26" t="s">
        <v>348</v>
      </c>
      <c r="H44" s="26" t="s">
        <v>41</v>
      </c>
      <c r="I44" s="27">
        <v>3</v>
      </c>
      <c r="J44" s="26" t="s">
        <v>240</v>
      </c>
      <c r="K44" s="28">
        <v>2</v>
      </c>
    </row>
    <row r="45" spans="1:11" s="28" customFormat="1" x14ac:dyDescent="0.25">
      <c r="A45" s="25">
        <v>46262</v>
      </c>
      <c r="B45" s="26" t="s">
        <v>15</v>
      </c>
      <c r="C45" s="26" t="s">
        <v>349</v>
      </c>
      <c r="D45" s="26" t="s">
        <v>350</v>
      </c>
      <c r="E45" s="26" t="s">
        <v>341</v>
      </c>
      <c r="F45" s="26" t="s">
        <v>351</v>
      </c>
      <c r="G45" s="26" t="s">
        <v>352</v>
      </c>
      <c r="H45" s="26" t="s">
        <v>41</v>
      </c>
      <c r="I45" s="27">
        <v>2</v>
      </c>
      <c r="J45" s="26" t="s">
        <v>353</v>
      </c>
      <c r="K45" s="28">
        <v>2</v>
      </c>
    </row>
    <row r="46" spans="1:11" s="28" customFormat="1" x14ac:dyDescent="0.25">
      <c r="A46" s="25">
        <v>46262</v>
      </c>
      <c r="B46" s="26" t="s">
        <v>16</v>
      </c>
      <c r="C46" s="26" t="s">
        <v>354</v>
      </c>
      <c r="D46" s="26" t="s">
        <v>355</v>
      </c>
      <c r="E46" s="26" t="s">
        <v>315</v>
      </c>
      <c r="F46" s="26" t="s">
        <v>347</v>
      </c>
      <c r="G46" s="26" t="s">
        <v>356</v>
      </c>
      <c r="H46" s="26" t="s">
        <v>43</v>
      </c>
      <c r="I46" s="27">
        <v>1</v>
      </c>
      <c r="J46" s="26" t="s">
        <v>227</v>
      </c>
      <c r="K46" s="28">
        <v>2</v>
      </c>
    </row>
    <row r="47" spans="1:11" s="28" customFormat="1" x14ac:dyDescent="0.25">
      <c r="A47" s="25">
        <v>46265</v>
      </c>
      <c r="B47" s="26" t="s">
        <v>15</v>
      </c>
      <c r="C47" s="26" t="s">
        <v>357</v>
      </c>
      <c r="D47" s="26" t="s">
        <v>358</v>
      </c>
      <c r="E47" s="26" t="s">
        <v>359</v>
      </c>
      <c r="F47" s="26" t="s">
        <v>360</v>
      </c>
      <c r="G47" s="26" t="s">
        <v>361</v>
      </c>
      <c r="H47" s="26" t="s">
        <v>41</v>
      </c>
      <c r="I47" s="27">
        <v>5</v>
      </c>
      <c r="J47" s="26" t="s">
        <v>362</v>
      </c>
      <c r="K47" s="28">
        <v>2</v>
      </c>
    </row>
    <row r="48" spans="1:11" s="28" customFormat="1" x14ac:dyDescent="0.25">
      <c r="A48" s="25">
        <v>46265</v>
      </c>
      <c r="B48" s="26" t="s">
        <v>15</v>
      </c>
      <c r="C48" s="26" t="s">
        <v>363</v>
      </c>
      <c r="D48" s="26" t="s">
        <v>364</v>
      </c>
      <c r="E48" s="26" t="s">
        <v>359</v>
      </c>
      <c r="F48" s="26" t="s">
        <v>365</v>
      </c>
      <c r="G48" s="26" t="s">
        <v>366</v>
      </c>
      <c r="H48" s="26" t="s">
        <v>41</v>
      </c>
      <c r="I48" s="27">
        <v>2</v>
      </c>
      <c r="J48" s="26" t="s">
        <v>367</v>
      </c>
      <c r="K48" s="28">
        <v>2</v>
      </c>
    </row>
    <row r="49" spans="1:11" s="28" customFormat="1" x14ac:dyDescent="0.25">
      <c r="A49" s="25">
        <v>46265</v>
      </c>
      <c r="B49" s="26" t="s">
        <v>15</v>
      </c>
      <c r="C49" s="26" t="s">
        <v>368</v>
      </c>
      <c r="D49" s="26" t="s">
        <v>369</v>
      </c>
      <c r="E49" s="26" t="s">
        <v>359</v>
      </c>
      <c r="F49" s="26" t="s">
        <v>360</v>
      </c>
      <c r="G49" s="26" t="s">
        <v>370</v>
      </c>
      <c r="H49" s="26" t="s">
        <v>43</v>
      </c>
      <c r="I49" s="27">
        <v>2</v>
      </c>
      <c r="J49" s="26" t="s">
        <v>371</v>
      </c>
      <c r="K49" s="28">
        <v>2</v>
      </c>
    </row>
    <row r="50" spans="1:11" s="28" customFormat="1" x14ac:dyDescent="0.25">
      <c r="A50" s="25">
        <v>46265</v>
      </c>
      <c r="B50" s="26" t="s">
        <v>16</v>
      </c>
      <c r="C50" s="26" t="s">
        <v>372</v>
      </c>
      <c r="D50" s="26" t="s">
        <v>373</v>
      </c>
      <c r="E50" s="26" t="s">
        <v>374</v>
      </c>
      <c r="F50" s="26" t="s">
        <v>375</v>
      </c>
      <c r="G50" s="26" t="s">
        <v>376</v>
      </c>
      <c r="H50" s="26" t="s">
        <v>41</v>
      </c>
      <c r="I50" s="27">
        <v>1</v>
      </c>
      <c r="J50" s="26" t="s">
        <v>306</v>
      </c>
      <c r="K50" s="28">
        <v>2</v>
      </c>
    </row>
    <row r="51" spans="1:11" s="28" customFormat="1" x14ac:dyDescent="0.25">
      <c r="A51" s="25">
        <v>46265</v>
      </c>
      <c r="B51" s="26" t="s">
        <v>16</v>
      </c>
      <c r="C51" s="26" t="s">
        <v>377</v>
      </c>
      <c r="D51" s="26" t="s">
        <v>378</v>
      </c>
      <c r="E51" s="26" t="s">
        <v>374</v>
      </c>
      <c r="F51" s="26" t="s">
        <v>375</v>
      </c>
      <c r="G51" s="26" t="s">
        <v>376</v>
      </c>
      <c r="H51" s="26" t="s">
        <v>43</v>
      </c>
      <c r="I51" s="27">
        <v>1</v>
      </c>
      <c r="J51" s="26" t="s">
        <v>244</v>
      </c>
      <c r="K51" s="28">
        <v>2</v>
      </c>
    </row>
  </sheetData>
  <autoFilter ref="A1:J51" xr:uid="{9DCB961A-A19C-41FF-9445-5B4A841C157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460F-AB4F-445C-BD13-34D20DFF5DFD}">
  <sheetPr>
    <tabColor rgb="FF92D050"/>
  </sheetPr>
  <dimension ref="A1:O26"/>
  <sheetViews>
    <sheetView workbookViewId="0">
      <selection activeCell="R10" sqref="R10"/>
    </sheetView>
  </sheetViews>
  <sheetFormatPr defaultRowHeight="15" x14ac:dyDescent="0.25"/>
  <cols>
    <col min="3" max="3" width="26" bestFit="1" customWidth="1"/>
  </cols>
  <sheetData>
    <row r="1" spans="1:15" ht="38.25" x14ac:dyDescent="0.25">
      <c r="A1" s="16" t="s">
        <v>45</v>
      </c>
      <c r="B1" s="16" t="s">
        <v>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39</v>
      </c>
      <c r="I1" s="16" t="s">
        <v>51</v>
      </c>
      <c r="J1" s="16" t="s">
        <v>52</v>
      </c>
      <c r="K1" s="16" t="s">
        <v>53</v>
      </c>
      <c r="M1" t="s">
        <v>1006</v>
      </c>
      <c r="O1">
        <f>SUM(I2:I26)</f>
        <v>84</v>
      </c>
    </row>
    <row r="2" spans="1:15" s="23" customFormat="1" x14ac:dyDescent="0.25">
      <c r="A2" s="20">
        <v>46251</v>
      </c>
      <c r="B2" s="21" t="s">
        <v>17</v>
      </c>
      <c r="C2" s="21" t="s">
        <v>158</v>
      </c>
      <c r="D2" s="21" t="s">
        <v>1008</v>
      </c>
      <c r="E2" s="21" t="s">
        <v>126</v>
      </c>
      <c r="F2" s="21" t="s">
        <v>159</v>
      </c>
      <c r="G2" s="21" t="s">
        <v>160</v>
      </c>
      <c r="H2" s="21" t="s">
        <v>41</v>
      </c>
      <c r="I2" s="22">
        <v>6</v>
      </c>
      <c r="J2" s="21" t="s">
        <v>161</v>
      </c>
      <c r="K2" s="24">
        <v>1</v>
      </c>
    </row>
    <row r="3" spans="1:15" s="23" customFormat="1" x14ac:dyDescent="0.25">
      <c r="A3" s="20">
        <v>46252</v>
      </c>
      <c r="B3" s="21" t="s">
        <v>17</v>
      </c>
      <c r="C3" s="21" t="s">
        <v>158</v>
      </c>
      <c r="D3" s="21" t="s">
        <v>1008</v>
      </c>
      <c r="E3" s="21" t="s">
        <v>126</v>
      </c>
      <c r="F3" s="21" t="s">
        <v>159</v>
      </c>
      <c r="G3" s="21" t="s">
        <v>160</v>
      </c>
      <c r="H3" s="21" t="s">
        <v>41</v>
      </c>
      <c r="I3" s="22">
        <v>4</v>
      </c>
      <c r="J3" s="21" t="s">
        <v>177</v>
      </c>
      <c r="K3" s="24">
        <v>0</v>
      </c>
    </row>
    <row r="4" spans="1:15" s="23" customFormat="1" x14ac:dyDescent="0.25">
      <c r="A4" s="20">
        <v>46252</v>
      </c>
      <c r="B4" s="21" t="s">
        <v>17</v>
      </c>
      <c r="C4" s="21" t="s">
        <v>206</v>
      </c>
      <c r="D4" s="21" t="s">
        <v>1009</v>
      </c>
      <c r="E4" s="21" t="s">
        <v>126</v>
      </c>
      <c r="F4" s="21" t="s">
        <v>207</v>
      </c>
      <c r="G4" s="21" t="s">
        <v>208</v>
      </c>
      <c r="H4" s="21" t="s">
        <v>41</v>
      </c>
      <c r="I4" s="22">
        <v>2</v>
      </c>
      <c r="J4" s="21" t="s">
        <v>59</v>
      </c>
      <c r="K4" s="24">
        <v>1</v>
      </c>
    </row>
    <row r="5" spans="1:15" s="23" customFormat="1" x14ac:dyDescent="0.25">
      <c r="A5" s="20">
        <v>46253</v>
      </c>
      <c r="B5" s="21" t="s">
        <v>17</v>
      </c>
      <c r="C5" s="21" t="s">
        <v>206</v>
      </c>
      <c r="D5" s="21" t="s">
        <v>1009</v>
      </c>
      <c r="E5" s="21" t="s">
        <v>126</v>
      </c>
      <c r="F5" s="21" t="s">
        <v>207</v>
      </c>
      <c r="G5" s="21" t="s">
        <v>208</v>
      </c>
      <c r="H5" s="21" t="s">
        <v>41</v>
      </c>
      <c r="I5" s="22">
        <v>4</v>
      </c>
      <c r="J5" s="21" t="s">
        <v>209</v>
      </c>
      <c r="K5" s="24">
        <v>0</v>
      </c>
    </row>
    <row r="6" spans="1:15" s="23" customFormat="1" x14ac:dyDescent="0.25">
      <c r="A6" s="20">
        <v>46253</v>
      </c>
      <c r="B6" s="21" t="s">
        <v>17</v>
      </c>
      <c r="C6" s="21" t="s">
        <v>187</v>
      </c>
      <c r="D6" s="21" t="s">
        <v>1010</v>
      </c>
      <c r="E6" s="21" t="s">
        <v>126</v>
      </c>
      <c r="F6" s="21" t="s">
        <v>188</v>
      </c>
      <c r="G6" s="21" t="s">
        <v>189</v>
      </c>
      <c r="H6" s="21" t="s">
        <v>41</v>
      </c>
      <c r="I6" s="22">
        <v>2</v>
      </c>
      <c r="J6" s="21" t="s">
        <v>59</v>
      </c>
      <c r="K6" s="24">
        <v>1</v>
      </c>
    </row>
    <row r="7" spans="1:15" s="23" customFormat="1" x14ac:dyDescent="0.25">
      <c r="A7" s="20">
        <v>46254</v>
      </c>
      <c r="B7" s="21" t="s">
        <v>17</v>
      </c>
      <c r="C7" s="21" t="s">
        <v>125</v>
      </c>
      <c r="D7" s="21" t="s">
        <v>1011</v>
      </c>
      <c r="E7" s="21" t="s">
        <v>126</v>
      </c>
      <c r="F7" s="21" t="s">
        <v>127</v>
      </c>
      <c r="G7" s="21" t="s">
        <v>128</v>
      </c>
      <c r="H7" s="21" t="s">
        <v>41</v>
      </c>
      <c r="I7" s="22">
        <v>4</v>
      </c>
      <c r="J7" s="21" t="s">
        <v>129</v>
      </c>
      <c r="K7" s="24">
        <v>1</v>
      </c>
    </row>
    <row r="8" spans="1:15" s="23" customFormat="1" x14ac:dyDescent="0.25">
      <c r="A8" s="20">
        <v>46254</v>
      </c>
      <c r="B8" s="21" t="s">
        <v>17</v>
      </c>
      <c r="C8" s="21" t="s">
        <v>147</v>
      </c>
      <c r="D8" s="21" t="s">
        <v>1012</v>
      </c>
      <c r="E8" s="21" t="s">
        <v>126</v>
      </c>
      <c r="F8" s="21" t="s">
        <v>127</v>
      </c>
      <c r="G8" s="21" t="s">
        <v>148</v>
      </c>
      <c r="H8" s="21" t="s">
        <v>41</v>
      </c>
      <c r="I8" s="22">
        <v>1</v>
      </c>
      <c r="J8" s="21" t="s">
        <v>87</v>
      </c>
      <c r="K8" s="24">
        <v>1</v>
      </c>
    </row>
    <row r="9" spans="1:15" s="23" customFormat="1" x14ac:dyDescent="0.25">
      <c r="A9" s="20">
        <v>46255</v>
      </c>
      <c r="B9" s="21" t="s">
        <v>17</v>
      </c>
      <c r="C9" s="21" t="s">
        <v>213</v>
      </c>
      <c r="D9" s="21" t="s">
        <v>214</v>
      </c>
      <c r="E9" s="21" t="s">
        <v>126</v>
      </c>
      <c r="F9" s="21" t="s">
        <v>215</v>
      </c>
      <c r="G9" s="21" t="s">
        <v>216</v>
      </c>
      <c r="H9" s="21" t="s">
        <v>41</v>
      </c>
      <c r="I9" s="22">
        <v>3</v>
      </c>
      <c r="J9" s="21" t="s">
        <v>209</v>
      </c>
      <c r="K9" s="24">
        <v>1</v>
      </c>
    </row>
    <row r="10" spans="1:15" s="23" customFormat="1" x14ac:dyDescent="0.25">
      <c r="A10" s="20">
        <v>46255</v>
      </c>
      <c r="B10" s="21" t="s">
        <v>17</v>
      </c>
      <c r="C10" s="21" t="s">
        <v>217</v>
      </c>
      <c r="D10" s="21" t="s">
        <v>218</v>
      </c>
      <c r="E10" s="21" t="s">
        <v>126</v>
      </c>
      <c r="F10" s="21" t="s">
        <v>215</v>
      </c>
      <c r="G10" s="21" t="s">
        <v>219</v>
      </c>
      <c r="H10" s="21" t="s">
        <v>41</v>
      </c>
      <c r="I10" s="22">
        <v>2</v>
      </c>
      <c r="J10" s="21" t="s">
        <v>59</v>
      </c>
      <c r="K10" s="24">
        <v>1</v>
      </c>
    </row>
    <row r="11" spans="1:15" s="23" customFormat="1" x14ac:dyDescent="0.25">
      <c r="A11" s="20">
        <v>46259</v>
      </c>
      <c r="B11" s="21" t="s">
        <v>17</v>
      </c>
      <c r="C11" s="21" t="s">
        <v>245</v>
      </c>
      <c r="D11" s="21" t="s">
        <v>246</v>
      </c>
      <c r="E11" s="21" t="s">
        <v>247</v>
      </c>
      <c r="F11" s="21" t="s">
        <v>248</v>
      </c>
      <c r="G11" s="21" t="s">
        <v>249</v>
      </c>
      <c r="H11" s="21" t="s">
        <v>41</v>
      </c>
      <c r="I11" s="22">
        <v>2</v>
      </c>
      <c r="J11" s="21" t="s">
        <v>59</v>
      </c>
      <c r="K11" s="24">
        <v>1</v>
      </c>
    </row>
    <row r="12" spans="1:15" s="23" customFormat="1" x14ac:dyDescent="0.25">
      <c r="A12" s="20">
        <v>46259</v>
      </c>
      <c r="B12" s="21" t="s">
        <v>17</v>
      </c>
      <c r="C12" s="21" t="s">
        <v>255</v>
      </c>
      <c r="D12" s="21" t="s">
        <v>256</v>
      </c>
      <c r="E12" s="21" t="s">
        <v>247</v>
      </c>
      <c r="F12" s="21" t="s">
        <v>248</v>
      </c>
      <c r="G12" s="21" t="s">
        <v>257</v>
      </c>
      <c r="H12" s="21" t="s">
        <v>41</v>
      </c>
      <c r="I12" s="22">
        <v>4</v>
      </c>
      <c r="J12" s="21" t="s">
        <v>177</v>
      </c>
      <c r="K12" s="24">
        <v>1</v>
      </c>
    </row>
    <row r="13" spans="1:15" s="23" customFormat="1" x14ac:dyDescent="0.25">
      <c r="A13" s="20">
        <v>46260</v>
      </c>
      <c r="B13" s="21" t="s">
        <v>17</v>
      </c>
      <c r="C13" s="21" t="s">
        <v>245</v>
      </c>
      <c r="D13" s="21" t="s">
        <v>246</v>
      </c>
      <c r="E13" s="21" t="s">
        <v>247</v>
      </c>
      <c r="F13" s="21" t="s">
        <v>248</v>
      </c>
      <c r="G13" s="21" t="s">
        <v>249</v>
      </c>
      <c r="H13" s="21" t="s">
        <v>41</v>
      </c>
      <c r="I13" s="22">
        <v>5</v>
      </c>
      <c r="J13" s="21" t="s">
        <v>283</v>
      </c>
      <c r="K13" s="24">
        <v>0</v>
      </c>
    </row>
    <row r="14" spans="1:15" s="23" customFormat="1" x14ac:dyDescent="0.25">
      <c r="A14" s="20">
        <v>46261</v>
      </c>
      <c r="B14" s="21" t="s">
        <v>17</v>
      </c>
      <c r="C14" s="21" t="s">
        <v>318</v>
      </c>
      <c r="D14" s="21" t="s">
        <v>319</v>
      </c>
      <c r="E14" s="21" t="s">
        <v>247</v>
      </c>
      <c r="F14" s="21" t="s">
        <v>320</v>
      </c>
      <c r="G14" s="21" t="s">
        <v>321</v>
      </c>
      <c r="H14" s="21" t="s">
        <v>41</v>
      </c>
      <c r="I14" s="22">
        <v>2</v>
      </c>
      <c r="J14" s="21" t="s">
        <v>59</v>
      </c>
      <c r="K14" s="24">
        <v>1</v>
      </c>
    </row>
    <row r="15" spans="1:15" s="23" customFormat="1" x14ac:dyDescent="0.25">
      <c r="A15" s="20">
        <v>46261</v>
      </c>
      <c r="B15" s="21" t="s">
        <v>17</v>
      </c>
      <c r="C15" s="21" t="s">
        <v>322</v>
      </c>
      <c r="D15" s="21" t="s">
        <v>323</v>
      </c>
      <c r="E15" s="21" t="s">
        <v>247</v>
      </c>
      <c r="F15" s="21" t="s">
        <v>324</v>
      </c>
      <c r="G15" s="21" t="s">
        <v>325</v>
      </c>
      <c r="H15" s="21" t="s">
        <v>41</v>
      </c>
      <c r="I15" s="22">
        <v>3</v>
      </c>
      <c r="J15" s="21" t="s">
        <v>209</v>
      </c>
      <c r="K15" s="24">
        <v>1</v>
      </c>
    </row>
    <row r="16" spans="1:15" s="23" customFormat="1" x14ac:dyDescent="0.25">
      <c r="A16" s="20">
        <v>46262</v>
      </c>
      <c r="B16" s="21" t="s">
        <v>17</v>
      </c>
      <c r="C16" s="21" t="s">
        <v>318</v>
      </c>
      <c r="D16" s="21" t="s">
        <v>319</v>
      </c>
      <c r="E16" s="21" t="s">
        <v>247</v>
      </c>
      <c r="F16" s="21" t="s">
        <v>320</v>
      </c>
      <c r="G16" s="21" t="s">
        <v>321</v>
      </c>
      <c r="H16" s="21" t="s">
        <v>41</v>
      </c>
      <c r="I16" s="22">
        <v>3</v>
      </c>
      <c r="J16" s="21" t="s">
        <v>209</v>
      </c>
      <c r="K16" s="24">
        <v>0</v>
      </c>
    </row>
    <row r="17" spans="1:11" s="23" customFormat="1" x14ac:dyDescent="0.25">
      <c r="A17" s="20">
        <v>46266</v>
      </c>
      <c r="B17" s="21" t="s">
        <v>17</v>
      </c>
      <c r="C17" s="21" t="s">
        <v>383</v>
      </c>
      <c r="D17" s="21" t="s">
        <v>384</v>
      </c>
      <c r="E17" s="21" t="s">
        <v>385</v>
      </c>
      <c r="F17" s="21" t="s">
        <v>386</v>
      </c>
      <c r="G17" s="21" t="s">
        <v>387</v>
      </c>
      <c r="H17" s="21" t="s">
        <v>41</v>
      </c>
      <c r="I17" s="22">
        <v>6</v>
      </c>
      <c r="J17" s="21" t="s">
        <v>161</v>
      </c>
      <c r="K17" s="24">
        <v>1</v>
      </c>
    </row>
    <row r="18" spans="1:11" s="23" customFormat="1" x14ac:dyDescent="0.25">
      <c r="A18" s="20">
        <v>46267</v>
      </c>
      <c r="B18" s="21" t="s">
        <v>17</v>
      </c>
      <c r="C18" s="21" t="s">
        <v>408</v>
      </c>
      <c r="D18" s="21" t="s">
        <v>409</v>
      </c>
      <c r="E18" s="21" t="s">
        <v>385</v>
      </c>
      <c r="F18" s="21" t="s">
        <v>386</v>
      </c>
      <c r="G18" s="21" t="s">
        <v>410</v>
      </c>
      <c r="H18" s="21" t="s">
        <v>41</v>
      </c>
      <c r="I18" s="22">
        <v>8</v>
      </c>
      <c r="J18" s="21" t="s">
        <v>161</v>
      </c>
      <c r="K18" s="24">
        <v>1</v>
      </c>
    </row>
    <row r="19" spans="1:11" s="23" customFormat="1" x14ac:dyDescent="0.25">
      <c r="A19" s="20">
        <v>46268</v>
      </c>
      <c r="B19" s="21" t="s">
        <v>17</v>
      </c>
      <c r="C19" s="21" t="s">
        <v>439</v>
      </c>
      <c r="D19" s="21" t="s">
        <v>440</v>
      </c>
      <c r="E19" s="21" t="s">
        <v>385</v>
      </c>
      <c r="F19" s="21" t="s">
        <v>386</v>
      </c>
      <c r="G19" s="21" t="s">
        <v>441</v>
      </c>
      <c r="H19" s="21" t="s">
        <v>41</v>
      </c>
      <c r="I19" s="22">
        <v>3</v>
      </c>
      <c r="J19" s="21" t="s">
        <v>209</v>
      </c>
      <c r="K19" s="24">
        <v>1</v>
      </c>
    </row>
    <row r="20" spans="1:11" s="23" customFormat="1" x14ac:dyDescent="0.25">
      <c r="A20" s="20">
        <v>46269</v>
      </c>
      <c r="B20" s="21" t="s">
        <v>17</v>
      </c>
      <c r="C20" s="21" t="s">
        <v>449</v>
      </c>
      <c r="D20" s="21" t="s">
        <v>450</v>
      </c>
      <c r="E20" s="21" t="s">
        <v>385</v>
      </c>
      <c r="F20" s="21" t="s">
        <v>386</v>
      </c>
      <c r="G20" s="21" t="s">
        <v>451</v>
      </c>
      <c r="H20" s="21" t="s">
        <v>41</v>
      </c>
      <c r="I20" s="22">
        <v>4</v>
      </c>
      <c r="J20" s="21" t="s">
        <v>78</v>
      </c>
      <c r="K20" s="24">
        <v>1</v>
      </c>
    </row>
    <row r="21" spans="1:11" s="23" customFormat="1" x14ac:dyDescent="0.25">
      <c r="A21" s="20">
        <v>46273</v>
      </c>
      <c r="B21" s="21" t="s">
        <v>17</v>
      </c>
      <c r="C21" s="21" t="s">
        <v>466</v>
      </c>
      <c r="D21" s="21" t="s">
        <v>467</v>
      </c>
      <c r="E21" s="21" t="s">
        <v>385</v>
      </c>
      <c r="F21" s="21" t="s">
        <v>468</v>
      </c>
      <c r="G21" s="21" t="s">
        <v>469</v>
      </c>
      <c r="H21" s="21" t="s">
        <v>41</v>
      </c>
      <c r="I21" s="22">
        <v>6</v>
      </c>
      <c r="J21" s="21" t="s">
        <v>161</v>
      </c>
      <c r="K21" s="24">
        <v>1</v>
      </c>
    </row>
    <row r="22" spans="1:11" s="23" customFormat="1" x14ac:dyDescent="0.25">
      <c r="A22" s="20">
        <v>46274</v>
      </c>
      <c r="B22" s="21" t="s">
        <v>17</v>
      </c>
      <c r="C22" s="21" t="s">
        <v>466</v>
      </c>
      <c r="D22" s="21" t="s">
        <v>467</v>
      </c>
      <c r="E22" s="21" t="s">
        <v>385</v>
      </c>
      <c r="F22" s="21" t="s">
        <v>468</v>
      </c>
      <c r="G22" s="21" t="s">
        <v>469</v>
      </c>
      <c r="H22" s="21" t="s">
        <v>41</v>
      </c>
      <c r="I22" s="22">
        <v>2</v>
      </c>
      <c r="J22" s="21" t="s">
        <v>240</v>
      </c>
      <c r="K22" s="24">
        <v>0</v>
      </c>
    </row>
    <row r="23" spans="1:11" s="23" customFormat="1" x14ac:dyDescent="0.25">
      <c r="A23" s="20">
        <v>46274</v>
      </c>
      <c r="B23" s="21" t="s">
        <v>17</v>
      </c>
      <c r="C23" s="21" t="s">
        <v>505</v>
      </c>
      <c r="D23" s="21" t="s">
        <v>506</v>
      </c>
      <c r="E23" s="21" t="s">
        <v>385</v>
      </c>
      <c r="F23" s="21" t="s">
        <v>507</v>
      </c>
      <c r="G23" s="21" t="s">
        <v>508</v>
      </c>
      <c r="H23" s="21" t="s">
        <v>41</v>
      </c>
      <c r="I23" s="22">
        <v>1</v>
      </c>
      <c r="J23" s="21" t="s">
        <v>371</v>
      </c>
      <c r="K23" s="24">
        <v>1</v>
      </c>
    </row>
    <row r="24" spans="1:11" s="23" customFormat="1" x14ac:dyDescent="0.25">
      <c r="A24" s="20">
        <v>46274</v>
      </c>
      <c r="B24" s="21" t="s">
        <v>17</v>
      </c>
      <c r="C24" s="21" t="s">
        <v>517</v>
      </c>
      <c r="D24" s="21" t="s">
        <v>518</v>
      </c>
      <c r="E24" s="21" t="s">
        <v>385</v>
      </c>
      <c r="F24" s="21" t="s">
        <v>519</v>
      </c>
      <c r="G24" s="21" t="s">
        <v>520</v>
      </c>
      <c r="H24" s="21" t="s">
        <v>41</v>
      </c>
      <c r="I24" s="22">
        <v>1</v>
      </c>
      <c r="J24" s="21" t="s">
        <v>521</v>
      </c>
      <c r="K24" s="24">
        <v>1</v>
      </c>
    </row>
    <row r="25" spans="1:11" s="23" customFormat="1" x14ac:dyDescent="0.25">
      <c r="A25" s="20">
        <v>46275</v>
      </c>
      <c r="B25" s="21" t="s">
        <v>17</v>
      </c>
      <c r="C25" s="21" t="s">
        <v>505</v>
      </c>
      <c r="D25" s="21" t="s">
        <v>506</v>
      </c>
      <c r="E25" s="21" t="s">
        <v>385</v>
      </c>
      <c r="F25" s="21" t="s">
        <v>507</v>
      </c>
      <c r="G25" s="21" t="s">
        <v>508</v>
      </c>
      <c r="H25" s="21" t="s">
        <v>41</v>
      </c>
      <c r="I25" s="22">
        <v>3</v>
      </c>
      <c r="J25" s="21" t="s">
        <v>209</v>
      </c>
      <c r="K25" s="24">
        <v>0</v>
      </c>
    </row>
    <row r="26" spans="1:11" s="23" customFormat="1" x14ac:dyDescent="0.25">
      <c r="A26" s="20">
        <v>46275</v>
      </c>
      <c r="B26" s="21" t="s">
        <v>17</v>
      </c>
      <c r="C26" s="21" t="s">
        <v>530</v>
      </c>
      <c r="D26" s="21" t="s">
        <v>531</v>
      </c>
      <c r="E26" s="21" t="s">
        <v>385</v>
      </c>
      <c r="F26" s="21" t="s">
        <v>532</v>
      </c>
      <c r="G26" s="21" t="s">
        <v>533</v>
      </c>
      <c r="H26" s="21" t="s">
        <v>41</v>
      </c>
      <c r="I26" s="22">
        <v>3</v>
      </c>
      <c r="J26" s="21" t="s">
        <v>78</v>
      </c>
      <c r="K26" s="2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8103-8EA1-469B-BC44-1AE0DC7617C9}">
  <sheetPr>
    <tabColor rgb="FFFFC000"/>
  </sheetPr>
  <dimension ref="A1:N33"/>
  <sheetViews>
    <sheetView topLeftCell="A13" workbookViewId="0">
      <selection activeCell="I2" sqref="I2:I33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25.5703125" bestFit="1" customWidth="1"/>
    <col min="4" max="4" width="24.140625" bestFit="1" customWidth="1"/>
    <col min="5" max="5" width="13.140625" bestFit="1" customWidth="1"/>
    <col min="6" max="6" width="20.5703125" bestFit="1" customWidth="1"/>
    <col min="7" max="7" width="44.85546875" bestFit="1" customWidth="1"/>
    <col min="8" max="8" width="12.28515625" bestFit="1" customWidth="1"/>
    <col min="9" max="9" width="11.7109375" bestFit="1" customWidth="1"/>
    <col min="10" max="10" width="11.42578125" bestFit="1" customWidth="1"/>
    <col min="13" max="13" width="18.140625" customWidth="1"/>
  </cols>
  <sheetData>
    <row r="1" spans="1:14" ht="25.5" x14ac:dyDescent="0.25">
      <c r="A1" s="16" t="s">
        <v>45</v>
      </c>
      <c r="B1" s="16" t="s">
        <v>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39</v>
      </c>
      <c r="I1" s="16" t="s">
        <v>51</v>
      </c>
      <c r="J1" s="16" t="s">
        <v>52</v>
      </c>
      <c r="K1" s="16" t="s">
        <v>53</v>
      </c>
      <c r="M1" t="s">
        <v>1006</v>
      </c>
      <c r="N1">
        <v>112</v>
      </c>
    </row>
    <row r="2" spans="1:14" s="23" customFormat="1" x14ac:dyDescent="0.25">
      <c r="A2" s="20">
        <v>46266</v>
      </c>
      <c r="B2" s="21" t="s">
        <v>15</v>
      </c>
      <c r="C2" s="21" t="s">
        <v>379</v>
      </c>
      <c r="D2" s="21" t="s">
        <v>380</v>
      </c>
      <c r="E2" s="21" t="s">
        <v>359</v>
      </c>
      <c r="F2" s="21" t="s">
        <v>380</v>
      </c>
      <c r="G2" s="21" t="s">
        <v>381</v>
      </c>
      <c r="H2" s="21" t="s">
        <v>40</v>
      </c>
      <c r="I2" s="22">
        <v>9</v>
      </c>
      <c r="J2" s="21" t="s">
        <v>382</v>
      </c>
      <c r="K2" s="24">
        <f>IF(COUNTIFS($C$2:C2,C2)=1,1,0)</f>
        <v>1</v>
      </c>
    </row>
    <row r="3" spans="1:14" s="23" customFormat="1" x14ac:dyDescent="0.25">
      <c r="A3" s="20">
        <v>46266</v>
      </c>
      <c r="B3" s="21" t="s">
        <v>15</v>
      </c>
      <c r="C3" s="21" t="s">
        <v>388</v>
      </c>
      <c r="D3" s="21" t="s">
        <v>389</v>
      </c>
      <c r="E3" s="21" t="s">
        <v>359</v>
      </c>
      <c r="F3" s="21" t="s">
        <v>360</v>
      </c>
      <c r="G3" s="21" t="s">
        <v>390</v>
      </c>
      <c r="H3" s="21" t="s">
        <v>41</v>
      </c>
      <c r="I3" s="22">
        <v>4</v>
      </c>
      <c r="J3" s="21" t="s">
        <v>391</v>
      </c>
      <c r="K3" s="24">
        <f>IF(COUNTIFS($C$2:C3,C3)=1,1,0)</f>
        <v>1</v>
      </c>
    </row>
    <row r="4" spans="1:14" s="23" customFormat="1" x14ac:dyDescent="0.25">
      <c r="A4" s="20">
        <v>46266</v>
      </c>
      <c r="B4" s="21" t="s">
        <v>16</v>
      </c>
      <c r="C4" s="21" t="s">
        <v>392</v>
      </c>
      <c r="D4" s="21" t="s">
        <v>393</v>
      </c>
      <c r="E4" s="21" t="s">
        <v>374</v>
      </c>
      <c r="F4" s="21" t="s">
        <v>394</v>
      </c>
      <c r="G4" s="21" t="s">
        <v>395</v>
      </c>
      <c r="H4" s="21" t="s">
        <v>41</v>
      </c>
      <c r="I4" s="22">
        <v>4</v>
      </c>
      <c r="J4" s="21" t="s">
        <v>344</v>
      </c>
      <c r="K4" s="24">
        <f>IF(COUNTIFS($C$2:C4,C4)=1,1,0)</f>
        <v>1</v>
      </c>
    </row>
    <row r="5" spans="1:14" s="23" customFormat="1" x14ac:dyDescent="0.25">
      <c r="A5" s="20">
        <v>46266</v>
      </c>
      <c r="B5" s="21" t="s">
        <v>16</v>
      </c>
      <c r="C5" s="21" t="s">
        <v>396</v>
      </c>
      <c r="D5" s="21" t="s">
        <v>397</v>
      </c>
      <c r="E5" s="21" t="s">
        <v>374</v>
      </c>
      <c r="F5" s="21" t="s">
        <v>394</v>
      </c>
      <c r="G5" s="21" t="s">
        <v>398</v>
      </c>
      <c r="H5" s="21" t="s">
        <v>41</v>
      </c>
      <c r="I5" s="22">
        <v>3</v>
      </c>
      <c r="J5" s="21" t="s">
        <v>165</v>
      </c>
      <c r="K5" s="24">
        <f>IF(COUNTIFS($C$2:C5,C5)=1,1,0)</f>
        <v>1</v>
      </c>
    </row>
    <row r="6" spans="1:14" s="23" customFormat="1" x14ac:dyDescent="0.25">
      <c r="A6" s="20">
        <v>46266</v>
      </c>
      <c r="B6" s="21" t="s">
        <v>16</v>
      </c>
      <c r="C6" s="21" t="s">
        <v>399</v>
      </c>
      <c r="D6" s="21" t="s">
        <v>400</v>
      </c>
      <c r="E6" s="21" t="s">
        <v>374</v>
      </c>
      <c r="F6" s="21" t="s">
        <v>394</v>
      </c>
      <c r="G6" s="21" t="s">
        <v>401</v>
      </c>
      <c r="H6" s="21" t="s">
        <v>43</v>
      </c>
      <c r="I6" s="22">
        <v>2</v>
      </c>
      <c r="J6" s="21" t="s">
        <v>353</v>
      </c>
      <c r="K6" s="24">
        <f>IF(COUNTIFS($C$2:C6,C6)=1,1,0)</f>
        <v>1</v>
      </c>
    </row>
    <row r="7" spans="1:14" s="23" customFormat="1" x14ac:dyDescent="0.25">
      <c r="A7" s="20">
        <v>46266</v>
      </c>
      <c r="B7" s="21" t="s">
        <v>16</v>
      </c>
      <c r="C7" s="21" t="s">
        <v>402</v>
      </c>
      <c r="D7" s="21" t="s">
        <v>403</v>
      </c>
      <c r="E7" s="21" t="s">
        <v>374</v>
      </c>
      <c r="F7" s="21" t="s">
        <v>404</v>
      </c>
      <c r="G7" s="21" t="s">
        <v>405</v>
      </c>
      <c r="H7" s="21" t="s">
        <v>43</v>
      </c>
      <c r="I7" s="22">
        <v>1</v>
      </c>
      <c r="J7" s="21" t="s">
        <v>406</v>
      </c>
      <c r="K7" s="24">
        <f>IF(COUNTIFS($C$2:C7,C7)=1,1,0)</f>
        <v>1</v>
      </c>
    </row>
    <row r="8" spans="1:14" s="23" customFormat="1" x14ac:dyDescent="0.25">
      <c r="A8" s="20">
        <v>46267</v>
      </c>
      <c r="B8" s="21" t="s">
        <v>15</v>
      </c>
      <c r="C8" s="21" t="s">
        <v>379</v>
      </c>
      <c r="D8" s="21" t="s">
        <v>380</v>
      </c>
      <c r="E8" s="21" t="s">
        <v>359</v>
      </c>
      <c r="F8" s="21" t="s">
        <v>380</v>
      </c>
      <c r="G8" s="21" t="s">
        <v>381</v>
      </c>
      <c r="H8" s="21" t="s">
        <v>40</v>
      </c>
      <c r="I8" s="22">
        <v>8</v>
      </c>
      <c r="J8" s="21" t="s">
        <v>407</v>
      </c>
      <c r="K8" s="24">
        <f>IF(COUNTIFS($C$2:C8,C8)=1,1,0)</f>
        <v>0</v>
      </c>
    </row>
    <row r="9" spans="1:14" s="35" customFormat="1" x14ac:dyDescent="0.25">
      <c r="A9" s="30">
        <v>46267</v>
      </c>
      <c r="B9" s="31" t="s">
        <v>15</v>
      </c>
      <c r="C9" s="31" t="s">
        <v>411</v>
      </c>
      <c r="D9" s="31" t="s">
        <v>412</v>
      </c>
      <c r="E9" s="31" t="s">
        <v>359</v>
      </c>
      <c r="F9" s="31" t="s">
        <v>413</v>
      </c>
      <c r="G9" s="31" t="s">
        <v>414</v>
      </c>
      <c r="H9" s="31" t="s">
        <v>41</v>
      </c>
      <c r="I9" s="32">
        <v>4</v>
      </c>
      <c r="J9" s="31" t="s">
        <v>415</v>
      </c>
      <c r="K9" s="34">
        <f>IF(COUNTIFS($C$2:C9,C9)=1,1,0)</f>
        <v>1</v>
      </c>
    </row>
    <row r="10" spans="1:14" s="35" customFormat="1" x14ac:dyDescent="0.25">
      <c r="A10" s="30">
        <v>46267</v>
      </c>
      <c r="B10" s="31" t="s">
        <v>16</v>
      </c>
      <c r="C10" s="31" t="s">
        <v>416</v>
      </c>
      <c r="D10" s="31" t="s">
        <v>417</v>
      </c>
      <c r="E10" s="31" t="s">
        <v>374</v>
      </c>
      <c r="F10" s="31" t="s">
        <v>418</v>
      </c>
      <c r="G10" s="31" t="s">
        <v>419</v>
      </c>
      <c r="H10" s="31" t="s">
        <v>41</v>
      </c>
      <c r="I10" s="32">
        <v>2</v>
      </c>
      <c r="J10" s="31" t="s">
        <v>420</v>
      </c>
      <c r="K10" s="34">
        <f>IF(COUNTIFS($C$2:C10,C10)=1,1,0)</f>
        <v>1</v>
      </c>
    </row>
    <row r="11" spans="1:14" s="23" customFormat="1" x14ac:dyDescent="0.25">
      <c r="A11" s="20">
        <v>46267</v>
      </c>
      <c r="B11" s="21" t="s">
        <v>16</v>
      </c>
      <c r="C11" s="21" t="s">
        <v>421</v>
      </c>
      <c r="D11" s="21" t="s">
        <v>422</v>
      </c>
      <c r="E11" s="21" t="s">
        <v>374</v>
      </c>
      <c r="F11" s="21" t="s">
        <v>423</v>
      </c>
      <c r="G11" s="21" t="s">
        <v>424</v>
      </c>
      <c r="H11" s="21" t="s">
        <v>41</v>
      </c>
      <c r="I11" s="22">
        <v>1</v>
      </c>
      <c r="J11" s="21" t="s">
        <v>310</v>
      </c>
      <c r="K11" s="24">
        <f>IF(COUNTIFS($C$2:C11,C11)=1,1,0)</f>
        <v>1</v>
      </c>
    </row>
    <row r="12" spans="1:14" s="23" customFormat="1" x14ac:dyDescent="0.25">
      <c r="A12" s="20">
        <v>46267</v>
      </c>
      <c r="B12" s="21" t="s">
        <v>16</v>
      </c>
      <c r="C12" s="21" t="s">
        <v>425</v>
      </c>
      <c r="D12" s="21" t="s">
        <v>426</v>
      </c>
      <c r="E12" s="21" t="s">
        <v>374</v>
      </c>
      <c r="F12" s="21" t="s">
        <v>427</v>
      </c>
      <c r="G12" s="21" t="s">
        <v>428</v>
      </c>
      <c r="H12" s="21" t="s">
        <v>41</v>
      </c>
      <c r="I12" s="22">
        <v>1</v>
      </c>
      <c r="J12" s="21" t="s">
        <v>429</v>
      </c>
      <c r="K12" s="24">
        <f>IF(COUNTIFS($C$2:C12,C12)=1,1,0)</f>
        <v>1</v>
      </c>
    </row>
    <row r="13" spans="1:14" s="23" customFormat="1" x14ac:dyDescent="0.25">
      <c r="A13" s="20">
        <v>46267</v>
      </c>
      <c r="B13" s="21" t="s">
        <v>16</v>
      </c>
      <c r="C13" s="21" t="s">
        <v>430</v>
      </c>
      <c r="D13" s="21" t="s">
        <v>431</v>
      </c>
      <c r="E13" s="21" t="s">
        <v>374</v>
      </c>
      <c r="F13" s="21" t="s">
        <v>432</v>
      </c>
      <c r="G13" s="21" t="s">
        <v>433</v>
      </c>
      <c r="H13" s="21" t="s">
        <v>43</v>
      </c>
      <c r="I13" s="22">
        <v>1</v>
      </c>
      <c r="J13" s="21" t="s">
        <v>434</v>
      </c>
      <c r="K13" s="24">
        <f>IF(COUNTIFS($C$2:C13,C13)=1,1,0)</f>
        <v>1</v>
      </c>
    </row>
    <row r="14" spans="1:14" s="23" customFormat="1" x14ac:dyDescent="0.25">
      <c r="A14" s="20">
        <v>46268</v>
      </c>
      <c r="B14" s="21" t="s">
        <v>15</v>
      </c>
      <c r="C14" s="21" t="s">
        <v>435</v>
      </c>
      <c r="D14" s="21" t="s">
        <v>436</v>
      </c>
      <c r="E14" s="21" t="s">
        <v>359</v>
      </c>
      <c r="F14" s="21" t="s">
        <v>437</v>
      </c>
      <c r="G14" s="21" t="s">
        <v>438</v>
      </c>
      <c r="H14" s="21" t="s">
        <v>40</v>
      </c>
      <c r="I14" s="22">
        <v>5</v>
      </c>
      <c r="J14" s="21" t="s">
        <v>362</v>
      </c>
      <c r="K14" s="24">
        <f>IF(COUNTIFS($C$2:C14,C14)=1,1,0)</f>
        <v>1</v>
      </c>
    </row>
    <row r="15" spans="1:14" s="23" customFormat="1" x14ac:dyDescent="0.25">
      <c r="A15" s="20">
        <v>46268</v>
      </c>
      <c r="B15" s="21" t="s">
        <v>15</v>
      </c>
      <c r="C15" s="21" t="s">
        <v>442</v>
      </c>
      <c r="D15" s="21" t="s">
        <v>443</v>
      </c>
      <c r="E15" s="21" t="s">
        <v>359</v>
      </c>
      <c r="F15" s="21" t="s">
        <v>413</v>
      </c>
      <c r="G15" s="21" t="s">
        <v>444</v>
      </c>
      <c r="H15" s="21" t="s">
        <v>43</v>
      </c>
      <c r="I15" s="22">
        <v>2</v>
      </c>
      <c r="J15" s="21" t="s">
        <v>445</v>
      </c>
      <c r="K15" s="24">
        <f>IF(COUNTIFS($C$2:C15,C15)=1,1,0)</f>
        <v>1</v>
      </c>
    </row>
    <row r="16" spans="1:14" s="23" customFormat="1" x14ac:dyDescent="0.25">
      <c r="A16" s="20">
        <v>46268</v>
      </c>
      <c r="B16" s="21" t="s">
        <v>15</v>
      </c>
      <c r="C16" s="21" t="s">
        <v>446</v>
      </c>
      <c r="D16" s="21" t="s">
        <v>447</v>
      </c>
      <c r="E16" s="21" t="s">
        <v>359</v>
      </c>
      <c r="F16" s="21" t="s">
        <v>413</v>
      </c>
      <c r="G16" s="21" t="s">
        <v>448</v>
      </c>
      <c r="H16" s="21" t="s">
        <v>41</v>
      </c>
      <c r="I16" s="22">
        <v>1</v>
      </c>
      <c r="J16" s="21" t="s">
        <v>310</v>
      </c>
      <c r="K16" s="24">
        <f>IF(COUNTIFS($C$2:C16,C16)=1,1,0)</f>
        <v>1</v>
      </c>
    </row>
    <row r="17" spans="1:11" s="23" customFormat="1" x14ac:dyDescent="0.25">
      <c r="A17" s="20">
        <v>46272</v>
      </c>
      <c r="B17" s="21" t="s">
        <v>15</v>
      </c>
      <c r="C17" s="21" t="s">
        <v>452</v>
      </c>
      <c r="D17" s="21" t="s">
        <v>453</v>
      </c>
      <c r="E17" s="21" t="s">
        <v>359</v>
      </c>
      <c r="F17" s="21" t="s">
        <v>454</v>
      </c>
      <c r="G17" s="21" t="s">
        <v>455</v>
      </c>
      <c r="H17" s="21" t="s">
        <v>41</v>
      </c>
      <c r="I17" s="22">
        <v>4</v>
      </c>
      <c r="J17" s="21" t="s">
        <v>415</v>
      </c>
      <c r="K17" s="24">
        <f>IF(COUNTIFS($C$2:C17,C17)=1,1,0)</f>
        <v>1</v>
      </c>
    </row>
    <row r="18" spans="1:11" s="23" customFormat="1" x14ac:dyDescent="0.25">
      <c r="A18" s="20">
        <v>46272</v>
      </c>
      <c r="B18" s="21" t="s">
        <v>16</v>
      </c>
      <c r="C18" s="21" t="s">
        <v>456</v>
      </c>
      <c r="D18" s="21" t="s">
        <v>457</v>
      </c>
      <c r="E18" s="21" t="s">
        <v>458</v>
      </c>
      <c r="F18" s="21" t="s">
        <v>459</v>
      </c>
      <c r="G18" s="21" t="s">
        <v>460</v>
      </c>
      <c r="H18" s="21" t="s">
        <v>41</v>
      </c>
      <c r="I18" s="22">
        <v>2</v>
      </c>
      <c r="J18" s="21" t="s">
        <v>146</v>
      </c>
      <c r="K18" s="24">
        <f>IF(COUNTIFS($C$2:C18,C18)=1,1,0)</f>
        <v>1</v>
      </c>
    </row>
    <row r="19" spans="1:11" s="23" customFormat="1" x14ac:dyDescent="0.25">
      <c r="A19" s="20">
        <v>46272</v>
      </c>
      <c r="B19" s="21" t="s">
        <v>15</v>
      </c>
      <c r="C19" s="21" t="s">
        <v>461</v>
      </c>
      <c r="D19" s="21" t="s">
        <v>462</v>
      </c>
      <c r="E19" s="21" t="s">
        <v>359</v>
      </c>
      <c r="F19" s="21" t="s">
        <v>463</v>
      </c>
      <c r="G19" s="21" t="s">
        <v>464</v>
      </c>
      <c r="H19" s="21" t="s">
        <v>41</v>
      </c>
      <c r="I19" s="22">
        <v>2</v>
      </c>
      <c r="J19" s="21" t="s">
        <v>465</v>
      </c>
      <c r="K19" s="24">
        <f>IF(COUNTIFS($C$2:C19,C19)=1,1,0)</f>
        <v>1</v>
      </c>
    </row>
    <row r="20" spans="1:11" s="23" customFormat="1" x14ac:dyDescent="0.25">
      <c r="A20" s="20">
        <v>46273</v>
      </c>
      <c r="B20" s="21" t="s">
        <v>15</v>
      </c>
      <c r="C20" s="21" t="s">
        <v>470</v>
      </c>
      <c r="D20" s="21" t="s">
        <v>471</v>
      </c>
      <c r="E20" s="21" t="s">
        <v>359</v>
      </c>
      <c r="F20" s="21" t="s">
        <v>472</v>
      </c>
      <c r="G20" s="21" t="s">
        <v>473</v>
      </c>
      <c r="H20" s="21" t="s">
        <v>41</v>
      </c>
      <c r="I20" s="22">
        <v>4</v>
      </c>
      <c r="J20" s="21" t="s">
        <v>344</v>
      </c>
      <c r="K20" s="24">
        <f>IF(COUNTIFS($C$2:C20,C20)=1,1,0)</f>
        <v>1</v>
      </c>
    </row>
    <row r="21" spans="1:11" s="23" customFormat="1" x14ac:dyDescent="0.25">
      <c r="A21" s="20">
        <v>46273</v>
      </c>
      <c r="B21" s="21" t="s">
        <v>16</v>
      </c>
      <c r="C21" s="21" t="s">
        <v>474</v>
      </c>
      <c r="D21" s="21" t="s">
        <v>475</v>
      </c>
      <c r="E21" s="21" t="s">
        <v>458</v>
      </c>
      <c r="F21" s="21" t="s">
        <v>476</v>
      </c>
      <c r="G21" s="21" t="s">
        <v>477</v>
      </c>
      <c r="H21" s="21" t="s">
        <v>41</v>
      </c>
      <c r="I21" s="22">
        <v>3</v>
      </c>
      <c r="J21" s="21" t="s">
        <v>141</v>
      </c>
      <c r="K21" s="24">
        <f>IF(COUNTIFS($C$2:C21,C21)=1,1,0)</f>
        <v>1</v>
      </c>
    </row>
    <row r="22" spans="1:11" s="23" customFormat="1" x14ac:dyDescent="0.25">
      <c r="A22" s="20">
        <v>46273</v>
      </c>
      <c r="B22" s="21" t="s">
        <v>16</v>
      </c>
      <c r="C22" s="21" t="s">
        <v>478</v>
      </c>
      <c r="D22" s="21" t="s">
        <v>479</v>
      </c>
      <c r="E22" s="21" t="s">
        <v>458</v>
      </c>
      <c r="F22" s="21" t="s">
        <v>480</v>
      </c>
      <c r="G22" s="21" t="s">
        <v>481</v>
      </c>
      <c r="H22" s="21" t="s">
        <v>41</v>
      </c>
      <c r="I22" s="22">
        <v>3</v>
      </c>
      <c r="J22" s="21" t="s">
        <v>240</v>
      </c>
      <c r="K22" s="24">
        <f>IF(COUNTIFS($C$2:C22,C22)=1,1,0)</f>
        <v>1</v>
      </c>
    </row>
    <row r="23" spans="1:11" s="23" customFormat="1" x14ac:dyDescent="0.25">
      <c r="A23" s="20">
        <v>46273</v>
      </c>
      <c r="B23" s="21" t="s">
        <v>15</v>
      </c>
      <c r="C23" s="21" t="s">
        <v>482</v>
      </c>
      <c r="D23" s="21" t="s">
        <v>483</v>
      </c>
      <c r="E23" s="21" t="s">
        <v>359</v>
      </c>
      <c r="F23" s="21" t="s">
        <v>484</v>
      </c>
      <c r="G23" s="21" t="s">
        <v>485</v>
      </c>
      <c r="H23" s="21" t="s">
        <v>41</v>
      </c>
      <c r="I23" s="22">
        <v>2</v>
      </c>
      <c r="J23" s="21" t="s">
        <v>172</v>
      </c>
      <c r="K23" s="24">
        <f>IF(COUNTIFS($C$2:C23,C23)=1,1,0)</f>
        <v>1</v>
      </c>
    </row>
    <row r="24" spans="1:11" s="23" customFormat="1" x14ac:dyDescent="0.25">
      <c r="A24" s="20">
        <v>46273</v>
      </c>
      <c r="B24" s="21" t="s">
        <v>15</v>
      </c>
      <c r="C24" s="21" t="s">
        <v>486</v>
      </c>
      <c r="D24" s="21" t="s">
        <v>487</v>
      </c>
      <c r="E24" s="21" t="s">
        <v>359</v>
      </c>
      <c r="F24" s="21" t="s">
        <v>454</v>
      </c>
      <c r="G24" s="21" t="s">
        <v>488</v>
      </c>
      <c r="H24" s="21" t="s">
        <v>43</v>
      </c>
      <c r="I24" s="22">
        <v>1</v>
      </c>
      <c r="J24" s="21" t="s">
        <v>310</v>
      </c>
      <c r="K24" s="24">
        <f>IF(COUNTIFS($C$2:C24,C24)=1,1,0)</f>
        <v>1</v>
      </c>
    </row>
    <row r="25" spans="1:11" s="23" customFormat="1" x14ac:dyDescent="0.25">
      <c r="A25" s="20">
        <v>46273</v>
      </c>
      <c r="B25" s="21" t="s">
        <v>15</v>
      </c>
      <c r="C25" s="21" t="s">
        <v>489</v>
      </c>
      <c r="D25" s="21" t="s">
        <v>490</v>
      </c>
      <c r="E25" s="21" t="s">
        <v>359</v>
      </c>
      <c r="F25" s="21" t="s">
        <v>472</v>
      </c>
      <c r="G25" s="21" t="s">
        <v>491</v>
      </c>
      <c r="H25" s="21" t="s">
        <v>43</v>
      </c>
      <c r="I25" s="22">
        <v>1</v>
      </c>
      <c r="J25" s="21" t="s">
        <v>279</v>
      </c>
      <c r="K25" s="24">
        <f>IF(COUNTIFS($C$2:C25,C25)=1,1,0)</f>
        <v>1</v>
      </c>
    </row>
    <row r="26" spans="1:11" s="35" customFormat="1" x14ac:dyDescent="0.25">
      <c r="A26" s="30">
        <v>46274</v>
      </c>
      <c r="B26" s="31" t="s">
        <v>15</v>
      </c>
      <c r="C26" s="31" t="s">
        <v>492</v>
      </c>
      <c r="D26" s="31" t="s">
        <v>493</v>
      </c>
      <c r="E26" s="31" t="s">
        <v>359</v>
      </c>
      <c r="F26" s="31" t="s">
        <v>494</v>
      </c>
      <c r="G26" s="31" t="s">
        <v>495</v>
      </c>
      <c r="H26" s="31" t="s">
        <v>41</v>
      </c>
      <c r="I26" s="32">
        <v>7</v>
      </c>
      <c r="J26" s="31" t="s">
        <v>496</v>
      </c>
      <c r="K26" s="34">
        <f>IF(COUNTIFS($C$2:C26,C26)=1,1,0)</f>
        <v>1</v>
      </c>
    </row>
    <row r="27" spans="1:11" s="35" customFormat="1" x14ac:dyDescent="0.25">
      <c r="A27" s="30">
        <v>46274</v>
      </c>
      <c r="B27" s="31" t="s">
        <v>16</v>
      </c>
      <c r="C27" s="31" t="s">
        <v>497</v>
      </c>
      <c r="D27" s="31" t="s">
        <v>498</v>
      </c>
      <c r="E27" s="31" t="s">
        <v>458</v>
      </c>
      <c r="F27" s="31" t="s">
        <v>499</v>
      </c>
      <c r="G27" s="31" t="s">
        <v>500</v>
      </c>
      <c r="H27" s="31" t="s">
        <v>41</v>
      </c>
      <c r="I27" s="32">
        <v>5</v>
      </c>
      <c r="J27" s="31" t="s">
        <v>182</v>
      </c>
      <c r="K27" s="34">
        <f>IF(COUNTIFS($C$2:C27,C27)=1,1,0)</f>
        <v>1</v>
      </c>
    </row>
    <row r="28" spans="1:11" s="35" customFormat="1" x14ac:dyDescent="0.25">
      <c r="A28" s="30">
        <v>46274</v>
      </c>
      <c r="B28" s="31" t="s">
        <v>16</v>
      </c>
      <c r="C28" s="31" t="s">
        <v>501</v>
      </c>
      <c r="D28" s="31" t="s">
        <v>502</v>
      </c>
      <c r="E28" s="31" t="s">
        <v>458</v>
      </c>
      <c r="F28" s="31" t="s">
        <v>503</v>
      </c>
      <c r="G28" s="31" t="s">
        <v>504</v>
      </c>
      <c r="H28" s="31" t="s">
        <v>41</v>
      </c>
      <c r="I28" s="32">
        <v>4</v>
      </c>
      <c r="J28" s="31" t="s">
        <v>415</v>
      </c>
      <c r="K28" s="34">
        <f>IF(COUNTIFS($C$2:C28,C28)=1,1,0)</f>
        <v>1</v>
      </c>
    </row>
    <row r="29" spans="1:11" s="35" customFormat="1" x14ac:dyDescent="0.25">
      <c r="A29" s="30">
        <v>46274</v>
      </c>
      <c r="B29" s="31" t="s">
        <v>16</v>
      </c>
      <c r="C29" s="31" t="s">
        <v>509</v>
      </c>
      <c r="D29" s="31" t="s">
        <v>510</v>
      </c>
      <c r="E29" s="31" t="s">
        <v>458</v>
      </c>
      <c r="F29" s="31" t="s">
        <v>499</v>
      </c>
      <c r="G29" s="31" t="s">
        <v>511</v>
      </c>
      <c r="H29" s="31" t="s">
        <v>43</v>
      </c>
      <c r="I29" s="32">
        <v>2</v>
      </c>
      <c r="J29" s="31" t="s">
        <v>512</v>
      </c>
      <c r="K29" s="34">
        <f>IF(COUNTIFS($C$2:C29,C29)=1,1,0)</f>
        <v>1</v>
      </c>
    </row>
    <row r="30" spans="1:11" s="35" customFormat="1" x14ac:dyDescent="0.25">
      <c r="A30" s="30">
        <v>46274</v>
      </c>
      <c r="B30" s="31" t="s">
        <v>15</v>
      </c>
      <c r="C30" s="31" t="s">
        <v>513</v>
      </c>
      <c r="D30" s="31" t="s">
        <v>514</v>
      </c>
      <c r="E30" s="31" t="s">
        <v>359</v>
      </c>
      <c r="F30" s="31" t="s">
        <v>515</v>
      </c>
      <c r="G30" s="31" t="s">
        <v>516</v>
      </c>
      <c r="H30" s="31" t="s">
        <v>41</v>
      </c>
      <c r="I30" s="32">
        <v>1</v>
      </c>
      <c r="J30" s="31" t="s">
        <v>310</v>
      </c>
      <c r="K30" s="34">
        <f>IF(COUNTIFS($C$2:C30,C30)=1,1,0)</f>
        <v>1</v>
      </c>
    </row>
    <row r="31" spans="1:11" s="35" customFormat="1" x14ac:dyDescent="0.25">
      <c r="A31" s="30">
        <v>46275</v>
      </c>
      <c r="B31" s="31" t="s">
        <v>15</v>
      </c>
      <c r="C31" s="31" t="s">
        <v>522</v>
      </c>
      <c r="D31" s="31" t="s">
        <v>523</v>
      </c>
      <c r="E31" s="31" t="s">
        <v>359</v>
      </c>
      <c r="F31" s="31" t="s">
        <v>524</v>
      </c>
      <c r="G31" s="31" t="s">
        <v>525</v>
      </c>
      <c r="H31" s="31" t="s">
        <v>40</v>
      </c>
      <c r="I31" s="32">
        <v>12</v>
      </c>
      <c r="J31" s="31" t="s">
        <v>526</v>
      </c>
      <c r="K31" s="34">
        <f>IF(COUNTIFS($C$2:C31,C31)=1,1,0)</f>
        <v>1</v>
      </c>
    </row>
    <row r="32" spans="1:11" s="35" customFormat="1" x14ac:dyDescent="0.25">
      <c r="A32" s="30">
        <v>46275</v>
      </c>
      <c r="B32" s="31" t="s">
        <v>16</v>
      </c>
      <c r="C32" s="31" t="s">
        <v>527</v>
      </c>
      <c r="D32" s="31" t="s">
        <v>528</v>
      </c>
      <c r="E32" s="31" t="s">
        <v>458</v>
      </c>
      <c r="F32" s="31" t="s">
        <v>499</v>
      </c>
      <c r="G32" s="31" t="s">
        <v>529</v>
      </c>
      <c r="H32" s="31" t="s">
        <v>41</v>
      </c>
      <c r="I32" s="32">
        <v>4</v>
      </c>
      <c r="J32" s="31" t="s">
        <v>391</v>
      </c>
      <c r="K32" s="34">
        <f>IF(COUNTIFS($C$2:C32,C32)=1,1,0)</f>
        <v>1</v>
      </c>
    </row>
    <row r="33" spans="1:11" s="35" customFormat="1" x14ac:dyDescent="0.25">
      <c r="A33" s="30">
        <v>46276</v>
      </c>
      <c r="B33" s="31" t="s">
        <v>15</v>
      </c>
      <c r="C33" s="31" t="s">
        <v>522</v>
      </c>
      <c r="D33" s="31" t="s">
        <v>523</v>
      </c>
      <c r="E33" s="31" t="s">
        <v>359</v>
      </c>
      <c r="F33" s="31" t="s">
        <v>524</v>
      </c>
      <c r="G33" s="31" t="s">
        <v>525</v>
      </c>
      <c r="H33" s="31" t="s">
        <v>40</v>
      </c>
      <c r="I33" s="32">
        <v>7</v>
      </c>
      <c r="J33" s="31" t="s">
        <v>534</v>
      </c>
      <c r="K33" s="34">
        <f>IF(COUNTIFS($C$2:C33,C33)=1,1,0)</f>
        <v>0</v>
      </c>
    </row>
  </sheetData>
  <autoFilter ref="A1:K33" xr:uid="{81448103-8EA1-469B-BC44-1AE0DC7617C9}">
    <sortState xmlns:xlrd2="http://schemas.microsoft.com/office/spreadsheetml/2017/richdata2" ref="A2:K161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EA1-1F3C-4DD5-86D1-39FB477873AA}">
  <sheetPr filterMode="1">
    <tabColor rgb="FFFFFF00"/>
  </sheetPr>
  <dimension ref="A1:O44"/>
  <sheetViews>
    <sheetView workbookViewId="0">
      <selection activeCell="P11" sqref="P11"/>
    </sheetView>
  </sheetViews>
  <sheetFormatPr defaultRowHeight="15" x14ac:dyDescent="0.25"/>
  <cols>
    <col min="2" max="2" width="10.28515625" bestFit="1" customWidth="1"/>
    <col min="3" max="3" width="28.5703125" bestFit="1" customWidth="1"/>
    <col min="4" max="4" width="37.140625" bestFit="1" customWidth="1"/>
    <col min="5" max="5" width="17.28515625" bestFit="1" customWidth="1"/>
    <col min="9" max="9" width="10" bestFit="1" customWidth="1"/>
    <col min="14" max="14" width="15.85546875" bestFit="1" customWidth="1"/>
  </cols>
  <sheetData>
    <row r="1" spans="1:15" ht="25.5" x14ac:dyDescent="0.25">
      <c r="A1" s="16" t="s">
        <v>45</v>
      </c>
      <c r="B1" s="16" t="s">
        <v>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39</v>
      </c>
      <c r="I1" s="16" t="s">
        <v>51</v>
      </c>
      <c r="J1" s="16" t="s">
        <v>52</v>
      </c>
      <c r="K1" s="16" t="s">
        <v>53</v>
      </c>
      <c r="N1" t="s">
        <v>1006</v>
      </c>
      <c r="O1">
        <f>SUM(I2:I44)</f>
        <v>135</v>
      </c>
    </row>
    <row r="2" spans="1:15" s="35" customFormat="1" x14ac:dyDescent="0.25">
      <c r="A2" s="30">
        <v>46279</v>
      </c>
      <c r="B2" s="31" t="s">
        <v>16</v>
      </c>
      <c r="C2" s="31" t="s">
        <v>535</v>
      </c>
      <c r="D2" s="31" t="s">
        <v>536</v>
      </c>
      <c r="E2" s="31" t="s">
        <v>537</v>
      </c>
      <c r="F2" s="31" t="s">
        <v>538</v>
      </c>
      <c r="G2" s="31" t="s">
        <v>539</v>
      </c>
      <c r="H2" s="31" t="s">
        <v>41</v>
      </c>
      <c r="I2" s="32">
        <v>2</v>
      </c>
      <c r="J2" s="31" t="s">
        <v>540</v>
      </c>
      <c r="K2" s="34">
        <f>IF(COUNTIFS($C$2:C2,C2)=1,1,0)</f>
        <v>1</v>
      </c>
    </row>
    <row r="3" spans="1:15" s="35" customFormat="1" x14ac:dyDescent="0.25">
      <c r="A3" s="30">
        <v>46279</v>
      </c>
      <c r="B3" s="31" t="s">
        <v>16</v>
      </c>
      <c r="C3" s="31" t="s">
        <v>541</v>
      </c>
      <c r="D3" s="31" t="s">
        <v>542</v>
      </c>
      <c r="E3" s="31" t="s">
        <v>537</v>
      </c>
      <c r="F3" s="31" t="s">
        <v>543</v>
      </c>
      <c r="G3" s="31" t="s">
        <v>544</v>
      </c>
      <c r="H3" s="31" t="s">
        <v>41</v>
      </c>
      <c r="I3" s="32">
        <v>2</v>
      </c>
      <c r="J3" s="31" t="s">
        <v>297</v>
      </c>
      <c r="K3" s="34">
        <f>IF(COUNTIFS($C$2:C3,C3)=1,1,0)</f>
        <v>1</v>
      </c>
    </row>
    <row r="4" spans="1:15" s="35" customFormat="1" hidden="1" x14ac:dyDescent="0.25">
      <c r="A4" s="30">
        <v>46279</v>
      </c>
      <c r="B4" s="31" t="s">
        <v>15</v>
      </c>
      <c r="C4" s="31" t="s">
        <v>545</v>
      </c>
      <c r="D4" s="31" t="s">
        <v>546</v>
      </c>
      <c r="E4" s="31" t="s">
        <v>359</v>
      </c>
      <c r="F4" s="31" t="s">
        <v>547</v>
      </c>
      <c r="G4" s="31" t="s">
        <v>548</v>
      </c>
      <c r="H4" s="31" t="s">
        <v>41</v>
      </c>
      <c r="I4" s="32">
        <v>2</v>
      </c>
      <c r="J4" s="31" t="s">
        <v>353</v>
      </c>
      <c r="K4" s="34">
        <f>IF(COUNTIFS($C$2:C4,C4)=1,1,0)</f>
        <v>1</v>
      </c>
    </row>
    <row r="5" spans="1:15" s="35" customFormat="1" x14ac:dyDescent="0.25">
      <c r="A5" s="30">
        <v>46279</v>
      </c>
      <c r="B5" s="31" t="s">
        <v>16</v>
      </c>
      <c r="C5" s="31" t="s">
        <v>549</v>
      </c>
      <c r="D5" s="31" t="s">
        <v>550</v>
      </c>
      <c r="E5" s="31" t="s">
        <v>537</v>
      </c>
      <c r="F5" s="31" t="s">
        <v>543</v>
      </c>
      <c r="G5" s="31" t="s">
        <v>551</v>
      </c>
      <c r="H5" s="31" t="s">
        <v>43</v>
      </c>
      <c r="I5" s="32">
        <v>2</v>
      </c>
      <c r="J5" s="31" t="s">
        <v>146</v>
      </c>
      <c r="K5" s="34">
        <f>IF(COUNTIFS($C$2:C5,C5)=1,1,0)</f>
        <v>1</v>
      </c>
    </row>
    <row r="6" spans="1:15" s="35" customFormat="1" hidden="1" x14ac:dyDescent="0.25">
      <c r="A6" s="30">
        <v>46279</v>
      </c>
      <c r="B6" s="31" t="s">
        <v>15</v>
      </c>
      <c r="C6" s="31" t="s">
        <v>552</v>
      </c>
      <c r="D6" s="31" t="s">
        <v>553</v>
      </c>
      <c r="E6" s="31" t="s">
        <v>359</v>
      </c>
      <c r="F6" s="31" t="s">
        <v>547</v>
      </c>
      <c r="G6" s="31" t="s">
        <v>554</v>
      </c>
      <c r="H6" s="31" t="s">
        <v>43</v>
      </c>
      <c r="I6" s="32">
        <v>1</v>
      </c>
      <c r="J6" s="31" t="s">
        <v>302</v>
      </c>
      <c r="K6" s="34">
        <f>IF(COUNTIFS($C$2:C6,C6)=1,1,0)</f>
        <v>1</v>
      </c>
    </row>
    <row r="7" spans="1:15" s="35" customFormat="1" hidden="1" x14ac:dyDescent="0.25">
      <c r="A7" s="30">
        <v>46280</v>
      </c>
      <c r="B7" s="31" t="s">
        <v>15</v>
      </c>
      <c r="C7" s="31" t="s">
        <v>555</v>
      </c>
      <c r="D7" s="31" t="s">
        <v>556</v>
      </c>
      <c r="E7" s="31" t="s">
        <v>359</v>
      </c>
      <c r="F7" s="31" t="s">
        <v>557</v>
      </c>
      <c r="G7" s="31" t="s">
        <v>558</v>
      </c>
      <c r="H7" s="31" t="s">
        <v>43</v>
      </c>
      <c r="I7" s="32">
        <v>7</v>
      </c>
      <c r="J7" s="31" t="s">
        <v>534</v>
      </c>
      <c r="K7" s="34">
        <f>IF(COUNTIFS($C$2:C7,C7)=1,1,0)</f>
        <v>1</v>
      </c>
    </row>
    <row r="8" spans="1:15" s="35" customFormat="1" hidden="1" x14ac:dyDescent="0.25">
      <c r="A8" s="30">
        <v>46280</v>
      </c>
      <c r="B8" s="31" t="s">
        <v>15</v>
      </c>
      <c r="C8" s="31" t="s">
        <v>559</v>
      </c>
      <c r="D8" s="31" t="s">
        <v>560</v>
      </c>
      <c r="E8" s="31" t="s">
        <v>359</v>
      </c>
      <c r="F8" s="31" t="s">
        <v>561</v>
      </c>
      <c r="G8" s="31" t="s">
        <v>562</v>
      </c>
      <c r="H8" s="31" t="s">
        <v>41</v>
      </c>
      <c r="I8" s="32">
        <v>5</v>
      </c>
      <c r="J8" s="31" t="s">
        <v>563</v>
      </c>
      <c r="K8" s="34">
        <f>IF(COUNTIFS($C$2:C8,C8)=1,1,0)</f>
        <v>1</v>
      </c>
    </row>
    <row r="9" spans="1:15" s="35" customFormat="1" x14ac:dyDescent="0.25">
      <c r="A9" s="30">
        <v>46280</v>
      </c>
      <c r="B9" s="31" t="s">
        <v>16</v>
      </c>
      <c r="C9" s="31" t="s">
        <v>564</v>
      </c>
      <c r="D9" s="31" t="s">
        <v>565</v>
      </c>
      <c r="E9" s="31" t="s">
        <v>537</v>
      </c>
      <c r="F9" s="31" t="s">
        <v>566</v>
      </c>
      <c r="G9" s="31" t="s">
        <v>567</v>
      </c>
      <c r="H9" s="31" t="s">
        <v>41</v>
      </c>
      <c r="I9" s="32">
        <v>4</v>
      </c>
      <c r="J9" s="31" t="s">
        <v>568</v>
      </c>
      <c r="K9" s="34">
        <f>IF(COUNTIFS($C$2:C9,C9)=1,1,0)</f>
        <v>1</v>
      </c>
    </row>
    <row r="10" spans="1:15" s="35" customFormat="1" x14ac:dyDescent="0.25">
      <c r="A10" s="30">
        <v>46280</v>
      </c>
      <c r="B10" s="31" t="s">
        <v>16</v>
      </c>
      <c r="C10" s="31" t="s">
        <v>569</v>
      </c>
      <c r="D10" s="31" t="s">
        <v>570</v>
      </c>
      <c r="E10" s="31" t="s">
        <v>537</v>
      </c>
      <c r="F10" s="31" t="s">
        <v>571</v>
      </c>
      <c r="G10" s="31" t="s">
        <v>572</v>
      </c>
      <c r="H10" s="31" t="s">
        <v>41</v>
      </c>
      <c r="I10" s="32">
        <v>1</v>
      </c>
      <c r="J10" s="31" t="s">
        <v>223</v>
      </c>
      <c r="K10" s="34">
        <f>IF(COUNTIFS($C$2:C10,C10)=1,1,0)</f>
        <v>1</v>
      </c>
    </row>
    <row r="11" spans="1:15" s="35" customFormat="1" x14ac:dyDescent="0.25">
      <c r="A11" s="30">
        <v>46280</v>
      </c>
      <c r="B11" s="31" t="s">
        <v>16</v>
      </c>
      <c r="C11" s="31" t="s">
        <v>573</v>
      </c>
      <c r="D11" s="31" t="s">
        <v>574</v>
      </c>
      <c r="E11" s="31" t="s">
        <v>537</v>
      </c>
      <c r="F11" s="31" t="s">
        <v>566</v>
      </c>
      <c r="G11" s="31" t="s">
        <v>575</v>
      </c>
      <c r="H11" s="31" t="s">
        <v>43</v>
      </c>
      <c r="I11" s="32">
        <v>1</v>
      </c>
      <c r="J11" s="31" t="s">
        <v>302</v>
      </c>
      <c r="K11" s="34">
        <f>IF(COUNTIFS($C$2:C11,C11)=1,1,0)</f>
        <v>1</v>
      </c>
    </row>
    <row r="12" spans="1:15" s="35" customFormat="1" x14ac:dyDescent="0.25">
      <c r="A12" s="30">
        <v>46280</v>
      </c>
      <c r="B12" s="31" t="s">
        <v>16</v>
      </c>
      <c r="C12" s="31" t="s">
        <v>576</v>
      </c>
      <c r="D12" s="31" t="s">
        <v>577</v>
      </c>
      <c r="E12" s="31" t="s">
        <v>537</v>
      </c>
      <c r="F12" s="31" t="s">
        <v>578</v>
      </c>
      <c r="G12" s="31" t="s">
        <v>579</v>
      </c>
      <c r="H12" s="31" t="s">
        <v>43</v>
      </c>
      <c r="I12" s="32">
        <v>1</v>
      </c>
      <c r="J12" s="31" t="s">
        <v>310</v>
      </c>
      <c r="K12" s="34">
        <f>IF(COUNTIFS($C$2:C12,C12)=1,1,0)</f>
        <v>1</v>
      </c>
    </row>
    <row r="13" spans="1:15" s="35" customFormat="1" x14ac:dyDescent="0.25">
      <c r="A13" s="30">
        <v>46281</v>
      </c>
      <c r="B13" s="31" t="s">
        <v>16</v>
      </c>
      <c r="C13" s="31" t="s">
        <v>580</v>
      </c>
      <c r="D13" s="31" t="s">
        <v>581</v>
      </c>
      <c r="E13" s="31" t="s">
        <v>537</v>
      </c>
      <c r="F13" s="31" t="s">
        <v>582</v>
      </c>
      <c r="G13" s="31" t="s">
        <v>583</v>
      </c>
      <c r="H13" s="31" t="s">
        <v>43</v>
      </c>
      <c r="I13" s="32">
        <v>6</v>
      </c>
      <c r="J13" s="31" t="s">
        <v>584</v>
      </c>
      <c r="K13" s="34">
        <f>IF(COUNTIFS($C$2:C13,C13)=1,1,0)</f>
        <v>1</v>
      </c>
    </row>
    <row r="14" spans="1:15" s="35" customFormat="1" hidden="1" x14ac:dyDescent="0.25">
      <c r="A14" s="30">
        <v>46281</v>
      </c>
      <c r="B14" s="31" t="s">
        <v>15</v>
      </c>
      <c r="C14" s="31" t="s">
        <v>585</v>
      </c>
      <c r="D14" s="31" t="s">
        <v>586</v>
      </c>
      <c r="E14" s="31" t="s">
        <v>359</v>
      </c>
      <c r="F14" s="31" t="s">
        <v>587</v>
      </c>
      <c r="G14" s="31" t="s">
        <v>588</v>
      </c>
      <c r="H14" s="31" t="s">
        <v>41</v>
      </c>
      <c r="I14" s="32">
        <v>4</v>
      </c>
      <c r="J14" s="31" t="s">
        <v>391</v>
      </c>
      <c r="K14" s="34">
        <f>IF(COUNTIFS($C$2:C14,C14)=1,1,0)</f>
        <v>1</v>
      </c>
    </row>
    <row r="15" spans="1:15" s="35" customFormat="1" hidden="1" x14ac:dyDescent="0.25">
      <c r="A15" s="30">
        <v>46281</v>
      </c>
      <c r="B15" s="31" t="s">
        <v>15</v>
      </c>
      <c r="C15" s="31" t="s">
        <v>589</v>
      </c>
      <c r="D15" s="31" t="s">
        <v>590</v>
      </c>
      <c r="E15" s="31" t="s">
        <v>359</v>
      </c>
      <c r="F15" s="31" t="s">
        <v>590</v>
      </c>
      <c r="G15" s="31" t="s">
        <v>591</v>
      </c>
      <c r="H15" s="31" t="s">
        <v>40</v>
      </c>
      <c r="I15" s="32">
        <v>3</v>
      </c>
      <c r="J15" s="31" t="s">
        <v>420</v>
      </c>
      <c r="K15" s="34">
        <f>IF(COUNTIFS($C$2:C15,C15)=1,1,0)</f>
        <v>1</v>
      </c>
    </row>
    <row r="16" spans="1:15" s="35" customFormat="1" x14ac:dyDescent="0.25">
      <c r="A16" s="30">
        <v>46281</v>
      </c>
      <c r="B16" s="31" t="s">
        <v>16</v>
      </c>
      <c r="C16" s="31" t="s">
        <v>592</v>
      </c>
      <c r="D16" s="31" t="s">
        <v>593</v>
      </c>
      <c r="E16" s="31" t="s">
        <v>537</v>
      </c>
      <c r="F16" s="31" t="s">
        <v>594</v>
      </c>
      <c r="G16" s="31" t="s">
        <v>595</v>
      </c>
      <c r="H16" s="31" t="s">
        <v>41</v>
      </c>
      <c r="I16" s="32">
        <v>2</v>
      </c>
      <c r="J16" s="31" t="s">
        <v>146</v>
      </c>
      <c r="K16" s="34">
        <f>IF(COUNTIFS($C$2:C16,C16)=1,1,0)</f>
        <v>1</v>
      </c>
    </row>
    <row r="17" spans="1:11" s="35" customFormat="1" hidden="1" x14ac:dyDescent="0.25">
      <c r="A17" s="30">
        <v>46281</v>
      </c>
      <c r="B17" s="31" t="s">
        <v>15</v>
      </c>
      <c r="C17" s="31" t="s">
        <v>596</v>
      </c>
      <c r="D17" s="31" t="s">
        <v>597</v>
      </c>
      <c r="E17" s="31" t="s">
        <v>359</v>
      </c>
      <c r="F17" s="31" t="s">
        <v>597</v>
      </c>
      <c r="G17" s="31" t="s">
        <v>598</v>
      </c>
      <c r="H17" s="31" t="s">
        <v>42</v>
      </c>
      <c r="I17" s="32">
        <v>2</v>
      </c>
      <c r="J17" s="31" t="s">
        <v>465</v>
      </c>
      <c r="K17" s="34">
        <f>IF(COUNTIFS($C$2:C17,C17)=1,1,0)</f>
        <v>1</v>
      </c>
    </row>
    <row r="18" spans="1:11" s="35" customFormat="1" x14ac:dyDescent="0.25">
      <c r="A18" s="30">
        <v>46282</v>
      </c>
      <c r="B18" s="31" t="s">
        <v>16</v>
      </c>
      <c r="C18" s="31" t="s">
        <v>599</v>
      </c>
      <c r="D18" s="31" t="s">
        <v>600</v>
      </c>
      <c r="E18" s="31" t="s">
        <v>537</v>
      </c>
      <c r="F18" s="31" t="s">
        <v>601</v>
      </c>
      <c r="G18" s="31" t="s">
        <v>602</v>
      </c>
      <c r="H18" s="31" t="s">
        <v>40</v>
      </c>
      <c r="I18" s="32">
        <v>7</v>
      </c>
      <c r="J18" s="31" t="s">
        <v>603</v>
      </c>
      <c r="K18" s="34">
        <f>IF(COUNTIFS($C$2:C18,C18)=1,1,0)</f>
        <v>1</v>
      </c>
    </row>
    <row r="19" spans="1:11" s="35" customFormat="1" x14ac:dyDescent="0.25">
      <c r="A19" s="30">
        <v>46282</v>
      </c>
      <c r="B19" s="31" t="s">
        <v>16</v>
      </c>
      <c r="C19" s="31" t="s">
        <v>604</v>
      </c>
      <c r="D19" s="31" t="s">
        <v>605</v>
      </c>
      <c r="E19" s="31" t="s">
        <v>537</v>
      </c>
      <c r="F19" s="31" t="s">
        <v>606</v>
      </c>
      <c r="G19" s="31" t="s">
        <v>607</v>
      </c>
      <c r="H19" s="31" t="s">
        <v>40</v>
      </c>
      <c r="I19" s="32">
        <v>3</v>
      </c>
      <c r="J19" s="31" t="s">
        <v>262</v>
      </c>
      <c r="K19" s="34">
        <f>IF(COUNTIFS($C$2:C19,C19)=1,1,0)</f>
        <v>1</v>
      </c>
    </row>
    <row r="20" spans="1:11" s="35" customFormat="1" hidden="1" x14ac:dyDescent="0.25">
      <c r="A20" s="30">
        <v>46282</v>
      </c>
      <c r="B20" s="31" t="s">
        <v>15</v>
      </c>
      <c r="C20" s="31" t="s">
        <v>608</v>
      </c>
      <c r="D20" s="31" t="s">
        <v>609</v>
      </c>
      <c r="E20" s="31" t="s">
        <v>359</v>
      </c>
      <c r="F20" s="31" t="s">
        <v>610</v>
      </c>
      <c r="G20" s="31" t="s">
        <v>611</v>
      </c>
      <c r="H20" s="31" t="s">
        <v>43</v>
      </c>
      <c r="I20" s="32">
        <v>2</v>
      </c>
      <c r="J20" s="31" t="s">
        <v>267</v>
      </c>
      <c r="K20" s="34">
        <f>IF(COUNTIFS($C$2:C20,C20)=1,1,0)</f>
        <v>1</v>
      </c>
    </row>
    <row r="21" spans="1:11" s="35" customFormat="1" hidden="1" x14ac:dyDescent="0.25">
      <c r="A21" s="30">
        <v>46282</v>
      </c>
      <c r="B21" s="31" t="s">
        <v>15</v>
      </c>
      <c r="C21" s="31" t="s">
        <v>612</v>
      </c>
      <c r="D21" s="31" t="s">
        <v>613</v>
      </c>
      <c r="E21" s="31" t="s">
        <v>359</v>
      </c>
      <c r="F21" s="31" t="s">
        <v>614</v>
      </c>
      <c r="G21" s="31" t="s">
        <v>615</v>
      </c>
      <c r="H21" s="31" t="s">
        <v>41</v>
      </c>
      <c r="I21" s="32">
        <v>1</v>
      </c>
      <c r="J21" s="31" t="s">
        <v>429</v>
      </c>
      <c r="K21" s="34">
        <f>IF(COUNTIFS($C$2:C21,C21)=1,1,0)</f>
        <v>1</v>
      </c>
    </row>
    <row r="22" spans="1:11" s="35" customFormat="1" x14ac:dyDescent="0.25">
      <c r="A22" s="30">
        <v>46282</v>
      </c>
      <c r="B22" s="31" t="s">
        <v>16</v>
      </c>
      <c r="C22" s="31" t="s">
        <v>616</v>
      </c>
      <c r="D22" s="31" t="s">
        <v>617</v>
      </c>
      <c r="E22" s="31" t="s">
        <v>537</v>
      </c>
      <c r="F22" s="31" t="s">
        <v>594</v>
      </c>
      <c r="G22" s="31" t="s">
        <v>618</v>
      </c>
      <c r="H22" s="31" t="s">
        <v>43</v>
      </c>
      <c r="I22" s="32">
        <v>1</v>
      </c>
      <c r="J22" s="31" t="s">
        <v>310</v>
      </c>
      <c r="K22" s="34">
        <f>IF(COUNTIFS($C$2:C22,C22)=1,1,0)</f>
        <v>1</v>
      </c>
    </row>
    <row r="23" spans="1:11" s="35" customFormat="1" x14ac:dyDescent="0.25">
      <c r="A23" s="30">
        <v>46283</v>
      </c>
      <c r="B23" s="31" t="s">
        <v>16</v>
      </c>
      <c r="C23" s="31" t="s">
        <v>619</v>
      </c>
      <c r="D23" s="31" t="s">
        <v>620</v>
      </c>
      <c r="E23" s="31" t="s">
        <v>537</v>
      </c>
      <c r="F23" s="31" t="s">
        <v>621</v>
      </c>
      <c r="G23" s="31" t="s">
        <v>622</v>
      </c>
      <c r="H23" s="31" t="s">
        <v>41</v>
      </c>
      <c r="I23" s="32">
        <v>2</v>
      </c>
      <c r="J23" s="31" t="s">
        <v>267</v>
      </c>
      <c r="K23" s="34">
        <f>IF(COUNTIFS($C$2:C23,C23)=1,1,0)</f>
        <v>1</v>
      </c>
    </row>
    <row r="24" spans="1:11" s="35" customFormat="1" x14ac:dyDescent="0.25">
      <c r="A24" s="30">
        <v>46283</v>
      </c>
      <c r="B24" s="31" t="s">
        <v>16</v>
      </c>
      <c r="C24" s="31" t="s">
        <v>623</v>
      </c>
      <c r="D24" s="31" t="s">
        <v>624</v>
      </c>
      <c r="E24" s="31" t="s">
        <v>537</v>
      </c>
      <c r="F24" s="31" t="s">
        <v>621</v>
      </c>
      <c r="G24" s="31" t="s">
        <v>625</v>
      </c>
      <c r="H24" s="31" t="s">
        <v>41</v>
      </c>
      <c r="I24" s="32">
        <v>2</v>
      </c>
      <c r="J24" s="31" t="s">
        <v>540</v>
      </c>
      <c r="K24" s="34">
        <f>IF(COUNTIFS($C$2:C24,C24)=1,1,0)</f>
        <v>1</v>
      </c>
    </row>
    <row r="25" spans="1:11" s="35" customFormat="1" x14ac:dyDescent="0.25">
      <c r="A25" s="30">
        <v>46283</v>
      </c>
      <c r="B25" s="31" t="s">
        <v>16</v>
      </c>
      <c r="C25" s="31" t="s">
        <v>626</v>
      </c>
      <c r="D25" s="31" t="s">
        <v>627</v>
      </c>
      <c r="E25" s="31" t="s">
        <v>537</v>
      </c>
      <c r="F25" s="31" t="s">
        <v>621</v>
      </c>
      <c r="G25" s="31" t="s">
        <v>628</v>
      </c>
      <c r="H25" s="31" t="s">
        <v>41</v>
      </c>
      <c r="I25" s="32">
        <v>2</v>
      </c>
      <c r="J25" s="31" t="s">
        <v>297</v>
      </c>
      <c r="K25" s="34">
        <f>IF(COUNTIFS($C$2:C25,C25)=1,1,0)</f>
        <v>1</v>
      </c>
    </row>
    <row r="26" spans="1:11" s="35" customFormat="1" hidden="1" x14ac:dyDescent="0.25">
      <c r="A26" s="30">
        <v>46286</v>
      </c>
      <c r="B26" s="31" t="s">
        <v>15</v>
      </c>
      <c r="C26" s="31" t="s">
        <v>629</v>
      </c>
      <c r="D26" s="31" t="s">
        <v>630</v>
      </c>
      <c r="E26" s="31" t="s">
        <v>359</v>
      </c>
      <c r="F26" s="31" t="s">
        <v>494</v>
      </c>
      <c r="G26" s="31" t="s">
        <v>631</v>
      </c>
      <c r="H26" s="31" t="s">
        <v>41</v>
      </c>
      <c r="I26" s="32">
        <v>12</v>
      </c>
      <c r="J26" s="31" t="s">
        <v>632</v>
      </c>
      <c r="K26" s="34">
        <f>IF(COUNTIFS($C$2:C26,C26)=1,1,0)</f>
        <v>1</v>
      </c>
    </row>
    <row r="27" spans="1:11" s="35" customFormat="1" hidden="1" x14ac:dyDescent="0.25">
      <c r="A27" s="30">
        <v>46286</v>
      </c>
      <c r="B27" s="31" t="s">
        <v>17</v>
      </c>
      <c r="C27" s="31" t="s">
        <v>633</v>
      </c>
      <c r="D27" s="31" t="s">
        <v>634</v>
      </c>
      <c r="E27" s="31" t="s">
        <v>635</v>
      </c>
      <c r="F27" s="31" t="s">
        <v>636</v>
      </c>
      <c r="G27" s="31" t="s">
        <v>637</v>
      </c>
      <c r="H27" s="31" t="s">
        <v>41</v>
      </c>
      <c r="I27" s="32">
        <v>2</v>
      </c>
      <c r="J27" s="31" t="s">
        <v>638</v>
      </c>
      <c r="K27" s="34">
        <f>IF(COUNTIFS($C$2:C27,C27)=1,1,0)</f>
        <v>1</v>
      </c>
    </row>
    <row r="28" spans="1:11" s="35" customFormat="1" hidden="1" x14ac:dyDescent="0.25">
      <c r="A28" s="30">
        <v>46287</v>
      </c>
      <c r="B28" s="31" t="s">
        <v>15</v>
      </c>
      <c r="C28" s="31" t="s">
        <v>639</v>
      </c>
      <c r="D28" s="31" t="s">
        <v>640</v>
      </c>
      <c r="E28" s="31" t="s">
        <v>359</v>
      </c>
      <c r="F28" s="31" t="s">
        <v>494</v>
      </c>
      <c r="G28" s="31" t="s">
        <v>641</v>
      </c>
      <c r="H28" s="31" t="s">
        <v>41</v>
      </c>
      <c r="I28" s="32">
        <v>6</v>
      </c>
      <c r="J28" s="31" t="s">
        <v>642</v>
      </c>
      <c r="K28" s="34">
        <f>IF(COUNTIFS($C$2:C28,C28)=1,1,0)</f>
        <v>1</v>
      </c>
    </row>
    <row r="29" spans="1:11" s="35" customFormat="1" x14ac:dyDescent="0.25">
      <c r="A29" s="30">
        <v>46287</v>
      </c>
      <c r="B29" s="31" t="s">
        <v>16</v>
      </c>
      <c r="C29" s="31" t="s">
        <v>643</v>
      </c>
      <c r="D29" s="31" t="s">
        <v>644</v>
      </c>
      <c r="E29" s="31" t="s">
        <v>645</v>
      </c>
      <c r="F29" s="31" t="s">
        <v>646</v>
      </c>
      <c r="G29" s="31" t="s">
        <v>647</v>
      </c>
      <c r="H29" s="31" t="s">
        <v>41</v>
      </c>
      <c r="I29" s="32">
        <v>6</v>
      </c>
      <c r="J29" s="31" t="s">
        <v>135</v>
      </c>
      <c r="K29" s="34">
        <f>IF(COUNTIFS($C$2:C29,C29)=1,1,0)</f>
        <v>1</v>
      </c>
    </row>
    <row r="30" spans="1:11" s="35" customFormat="1" hidden="1" x14ac:dyDescent="0.25">
      <c r="A30" s="30">
        <v>46287</v>
      </c>
      <c r="B30" s="31" t="s">
        <v>15</v>
      </c>
      <c r="C30" s="31" t="s">
        <v>648</v>
      </c>
      <c r="D30" s="31" t="s">
        <v>649</v>
      </c>
      <c r="E30" s="31" t="s">
        <v>359</v>
      </c>
      <c r="F30" s="31" t="s">
        <v>494</v>
      </c>
      <c r="G30" s="31" t="s">
        <v>650</v>
      </c>
      <c r="H30" s="31" t="s">
        <v>41</v>
      </c>
      <c r="I30" s="32">
        <v>3</v>
      </c>
      <c r="J30" s="31" t="s">
        <v>240</v>
      </c>
      <c r="K30" s="34">
        <f>IF(COUNTIFS($C$2:C30,C30)=1,1,0)</f>
        <v>1</v>
      </c>
    </row>
    <row r="31" spans="1:11" s="35" customFormat="1" hidden="1" x14ac:dyDescent="0.25">
      <c r="A31" s="30">
        <v>46287</v>
      </c>
      <c r="B31" s="31" t="s">
        <v>15</v>
      </c>
      <c r="C31" s="31" t="s">
        <v>651</v>
      </c>
      <c r="D31" s="31" t="s">
        <v>652</v>
      </c>
      <c r="E31" s="31" t="s">
        <v>359</v>
      </c>
      <c r="F31" s="31" t="s">
        <v>494</v>
      </c>
      <c r="G31" s="31" t="s">
        <v>653</v>
      </c>
      <c r="H31" s="31" t="s">
        <v>41</v>
      </c>
      <c r="I31" s="32">
        <v>3</v>
      </c>
      <c r="J31" s="31" t="s">
        <v>87</v>
      </c>
      <c r="K31" s="34">
        <f>IF(COUNTIFS($C$2:C31,C31)=1,1,0)</f>
        <v>1</v>
      </c>
    </row>
    <row r="32" spans="1:11" s="35" customFormat="1" x14ac:dyDescent="0.25">
      <c r="A32" s="30">
        <v>46287</v>
      </c>
      <c r="B32" s="31" t="s">
        <v>16</v>
      </c>
      <c r="C32" s="31" t="s">
        <v>654</v>
      </c>
      <c r="D32" s="31" t="s">
        <v>655</v>
      </c>
      <c r="E32" s="31" t="s">
        <v>645</v>
      </c>
      <c r="F32" s="31" t="s">
        <v>656</v>
      </c>
      <c r="G32" s="31" t="s">
        <v>657</v>
      </c>
      <c r="H32" s="31" t="s">
        <v>41</v>
      </c>
      <c r="I32" s="32">
        <v>2</v>
      </c>
      <c r="J32" s="31" t="s">
        <v>658</v>
      </c>
      <c r="K32" s="34">
        <f>IF(COUNTIFS($C$2:C32,C32)=1,1,0)</f>
        <v>1</v>
      </c>
    </row>
    <row r="33" spans="1:11" s="35" customFormat="1" hidden="1" x14ac:dyDescent="0.25">
      <c r="A33" s="30">
        <v>46288</v>
      </c>
      <c r="B33" s="31" t="s">
        <v>15</v>
      </c>
      <c r="C33" s="31" t="s">
        <v>659</v>
      </c>
      <c r="D33" s="31" t="s">
        <v>660</v>
      </c>
      <c r="E33" s="31" t="s">
        <v>359</v>
      </c>
      <c r="F33" s="31" t="s">
        <v>494</v>
      </c>
      <c r="G33" s="31" t="s">
        <v>661</v>
      </c>
      <c r="H33" s="31" t="s">
        <v>41</v>
      </c>
      <c r="I33" s="32">
        <v>6</v>
      </c>
      <c r="J33" s="31" t="s">
        <v>662</v>
      </c>
      <c r="K33" s="34">
        <f>IF(COUNTIFS($C$2:C33,C33)=1,1,0)</f>
        <v>1</v>
      </c>
    </row>
    <row r="34" spans="1:11" s="35" customFormat="1" hidden="1" x14ac:dyDescent="0.25">
      <c r="A34" s="30">
        <v>46288</v>
      </c>
      <c r="B34" s="31" t="s">
        <v>17</v>
      </c>
      <c r="C34" s="31" t="s">
        <v>663</v>
      </c>
      <c r="D34" s="31" t="s">
        <v>664</v>
      </c>
      <c r="E34" s="31" t="s">
        <v>665</v>
      </c>
      <c r="F34" s="31" t="s">
        <v>666</v>
      </c>
      <c r="G34" s="31" t="s">
        <v>667</v>
      </c>
      <c r="H34" s="31" t="s">
        <v>41</v>
      </c>
      <c r="I34" s="32">
        <v>4</v>
      </c>
      <c r="J34" s="31" t="s">
        <v>209</v>
      </c>
      <c r="K34" s="34">
        <f>IF(COUNTIFS($C$2:C34,C34)=1,1,0)</f>
        <v>1</v>
      </c>
    </row>
    <row r="35" spans="1:11" s="35" customFormat="1" hidden="1" x14ac:dyDescent="0.25">
      <c r="A35" s="30">
        <v>46288</v>
      </c>
      <c r="B35" s="31" t="s">
        <v>17</v>
      </c>
      <c r="C35" s="31" t="s">
        <v>668</v>
      </c>
      <c r="D35" s="31" t="s">
        <v>669</v>
      </c>
      <c r="E35" s="31" t="s">
        <v>665</v>
      </c>
      <c r="F35" s="31" t="s">
        <v>670</v>
      </c>
      <c r="G35" s="31" t="s">
        <v>671</v>
      </c>
      <c r="H35" s="31" t="s">
        <v>41</v>
      </c>
      <c r="I35" s="32">
        <v>4</v>
      </c>
      <c r="J35" s="31" t="s">
        <v>59</v>
      </c>
      <c r="K35" s="34">
        <f>IF(COUNTIFS($C$2:C35,C35)=1,1,0)</f>
        <v>1</v>
      </c>
    </row>
    <row r="36" spans="1:11" s="35" customFormat="1" x14ac:dyDescent="0.25">
      <c r="A36" s="30">
        <v>46288</v>
      </c>
      <c r="B36" s="31" t="s">
        <v>16</v>
      </c>
      <c r="C36" s="31" t="s">
        <v>672</v>
      </c>
      <c r="D36" s="31" t="s">
        <v>673</v>
      </c>
      <c r="E36" s="31" t="s">
        <v>645</v>
      </c>
      <c r="F36" s="31" t="s">
        <v>674</v>
      </c>
      <c r="G36" s="31" t="s">
        <v>675</v>
      </c>
      <c r="H36" s="31" t="s">
        <v>41</v>
      </c>
      <c r="I36" s="32">
        <v>4</v>
      </c>
      <c r="J36" s="31" t="s">
        <v>676</v>
      </c>
      <c r="K36" s="34">
        <f>IF(COUNTIFS($C$2:C36,C36)=1,1,0)</f>
        <v>1</v>
      </c>
    </row>
    <row r="37" spans="1:11" s="35" customFormat="1" hidden="1" x14ac:dyDescent="0.25">
      <c r="A37" s="30">
        <v>46288</v>
      </c>
      <c r="B37" s="31" t="s">
        <v>15</v>
      </c>
      <c r="C37" s="31" t="s">
        <v>677</v>
      </c>
      <c r="D37" s="31" t="s">
        <v>678</v>
      </c>
      <c r="E37" s="31" t="s">
        <v>359</v>
      </c>
      <c r="F37" s="31" t="s">
        <v>494</v>
      </c>
      <c r="G37" s="31" t="s">
        <v>679</v>
      </c>
      <c r="H37" s="31" t="s">
        <v>41</v>
      </c>
      <c r="I37" s="32">
        <v>2</v>
      </c>
      <c r="J37" s="31" t="s">
        <v>465</v>
      </c>
      <c r="K37" s="34">
        <f>IF(COUNTIFS($C$2:C37,C37)=1,1,0)</f>
        <v>1</v>
      </c>
    </row>
    <row r="38" spans="1:11" s="35" customFormat="1" hidden="1" x14ac:dyDescent="0.25">
      <c r="A38" s="30">
        <v>46288</v>
      </c>
      <c r="B38" s="31" t="s">
        <v>15</v>
      </c>
      <c r="C38" s="31" t="s">
        <v>680</v>
      </c>
      <c r="D38" s="31" t="s">
        <v>681</v>
      </c>
      <c r="E38" s="31" t="s">
        <v>359</v>
      </c>
      <c r="F38" s="31" t="s">
        <v>494</v>
      </c>
      <c r="G38" s="31" t="s">
        <v>682</v>
      </c>
      <c r="H38" s="31" t="s">
        <v>41</v>
      </c>
      <c r="I38" s="32">
        <v>1</v>
      </c>
      <c r="J38" s="31" t="s">
        <v>683</v>
      </c>
      <c r="K38" s="34">
        <f>IF(COUNTIFS($C$2:C38,C38)=1,1,0)</f>
        <v>1</v>
      </c>
    </row>
    <row r="39" spans="1:11" s="35" customFormat="1" x14ac:dyDescent="0.25">
      <c r="A39" s="30">
        <v>46288</v>
      </c>
      <c r="B39" s="31" t="s">
        <v>16</v>
      </c>
      <c r="C39" s="31" t="s">
        <v>684</v>
      </c>
      <c r="D39" s="31" t="s">
        <v>685</v>
      </c>
      <c r="E39" s="31" t="s">
        <v>645</v>
      </c>
      <c r="F39" s="31" t="s">
        <v>674</v>
      </c>
      <c r="G39" s="31" t="s">
        <v>686</v>
      </c>
      <c r="H39" s="31" t="s">
        <v>43</v>
      </c>
      <c r="I39" s="32">
        <v>1</v>
      </c>
      <c r="J39" s="31" t="s">
        <v>306</v>
      </c>
      <c r="K39" s="34">
        <f>IF(COUNTIFS($C$2:C39,C39)=1,1,0)</f>
        <v>1</v>
      </c>
    </row>
    <row r="40" spans="1:11" s="35" customFormat="1" hidden="1" x14ac:dyDescent="0.25">
      <c r="A40" s="52">
        <v>46289</v>
      </c>
      <c r="B40" s="53" t="s">
        <v>15</v>
      </c>
      <c r="C40" s="53" t="s">
        <v>687</v>
      </c>
      <c r="D40" s="53" t="s">
        <v>688</v>
      </c>
      <c r="E40" s="53" t="s">
        <v>359</v>
      </c>
      <c r="F40" s="53" t="s">
        <v>689</v>
      </c>
      <c r="G40" s="53" t="s">
        <v>690</v>
      </c>
      <c r="H40" s="53" t="s">
        <v>41</v>
      </c>
      <c r="I40" s="54">
        <v>5</v>
      </c>
      <c r="J40" s="53" t="s">
        <v>288</v>
      </c>
      <c r="K40" s="55">
        <f>IF(COUNTIFS($C$2:C40,C40)=1,1,0)</f>
        <v>1</v>
      </c>
    </row>
    <row r="41" spans="1:11" s="35" customFormat="1" hidden="1" x14ac:dyDescent="0.25">
      <c r="A41" s="30">
        <v>46289</v>
      </c>
      <c r="B41" s="31" t="s">
        <v>17</v>
      </c>
      <c r="C41" s="31" t="s">
        <v>691</v>
      </c>
      <c r="D41" s="31" t="s">
        <v>692</v>
      </c>
      <c r="E41" s="31" t="s">
        <v>693</v>
      </c>
      <c r="F41" s="31" t="s">
        <v>694</v>
      </c>
      <c r="G41" s="31" t="s">
        <v>695</v>
      </c>
      <c r="H41" s="31" t="s">
        <v>41</v>
      </c>
      <c r="I41" s="32">
        <v>2</v>
      </c>
      <c r="J41" s="31" t="s">
        <v>78</v>
      </c>
      <c r="K41" s="34">
        <f>IF(COUNTIFS($C$2:C41,C41)=1,1,0)</f>
        <v>1</v>
      </c>
    </row>
    <row r="42" spans="1:11" s="35" customFormat="1" hidden="1" x14ac:dyDescent="0.25">
      <c r="A42" s="30">
        <v>46289</v>
      </c>
      <c r="B42" s="31" t="s">
        <v>17</v>
      </c>
      <c r="C42" s="31" t="s">
        <v>696</v>
      </c>
      <c r="D42" s="31" t="s">
        <v>697</v>
      </c>
      <c r="E42" s="31" t="s">
        <v>693</v>
      </c>
      <c r="F42" s="31" t="s">
        <v>698</v>
      </c>
      <c r="G42" s="31" t="s">
        <v>699</v>
      </c>
      <c r="H42" s="31" t="s">
        <v>41</v>
      </c>
      <c r="I42" s="32">
        <v>2</v>
      </c>
      <c r="J42" s="31" t="s">
        <v>367</v>
      </c>
      <c r="K42" s="34">
        <f>IF(COUNTIFS($C$2:C42,C42)=1,1,0)</f>
        <v>1</v>
      </c>
    </row>
    <row r="43" spans="1:11" s="35" customFormat="1" hidden="1" x14ac:dyDescent="0.25">
      <c r="A43" s="30">
        <v>46289</v>
      </c>
      <c r="B43" s="31" t="s">
        <v>15</v>
      </c>
      <c r="C43" s="31" t="s">
        <v>700</v>
      </c>
      <c r="D43" s="31" t="s">
        <v>701</v>
      </c>
      <c r="E43" s="31" t="s">
        <v>359</v>
      </c>
      <c r="F43" s="31" t="s">
        <v>689</v>
      </c>
      <c r="G43" s="31" t="s">
        <v>702</v>
      </c>
      <c r="H43" s="31" t="s">
        <v>43</v>
      </c>
      <c r="I43" s="32">
        <v>1</v>
      </c>
      <c r="J43" s="31" t="s">
        <v>703</v>
      </c>
      <c r="K43" s="34">
        <f>IF(COUNTIFS($C$2:C43,C43)=1,1,0)</f>
        <v>1</v>
      </c>
    </row>
    <row r="44" spans="1:11" s="35" customFormat="1" hidden="1" x14ac:dyDescent="0.25">
      <c r="A44" s="30">
        <v>46290</v>
      </c>
      <c r="B44" s="31" t="s">
        <v>17</v>
      </c>
      <c r="C44" s="31" t="s">
        <v>704</v>
      </c>
      <c r="D44" s="31" t="s">
        <v>705</v>
      </c>
      <c r="E44" s="31" t="s">
        <v>693</v>
      </c>
      <c r="F44" s="31" t="s">
        <v>694</v>
      </c>
      <c r="G44" s="31" t="s">
        <v>706</v>
      </c>
      <c r="H44" s="31" t="s">
        <v>41</v>
      </c>
      <c r="I44" s="32">
        <v>4</v>
      </c>
      <c r="J44" s="31" t="s">
        <v>209</v>
      </c>
      <c r="K44" s="34">
        <f>IF(COUNTIFS($C$2:C44,C44)=1,1,0)</f>
        <v>1</v>
      </c>
    </row>
  </sheetData>
  <autoFilter ref="A1:K44" xr:uid="{BC909EA1-1F3C-4DD5-86D1-39FB477873AA}">
    <filterColumn colId="1">
      <filters>
        <filter val="Tecnico B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9A5F-6C35-4662-BC23-DA1D73FC43F4}">
  <sheetPr filterMode="1">
    <tabColor rgb="FF00B0F0"/>
  </sheetPr>
  <dimension ref="A1:N55"/>
  <sheetViews>
    <sheetView zoomScale="140" zoomScaleNormal="140" workbookViewId="0">
      <selection activeCell="A35" sqref="A35:XFD35"/>
    </sheetView>
  </sheetViews>
  <sheetFormatPr defaultRowHeight="15" x14ac:dyDescent="0.25"/>
  <cols>
    <col min="3" max="3" width="27.42578125" bestFit="1" customWidth="1"/>
    <col min="13" max="13" width="15.28515625" bestFit="1" customWidth="1"/>
  </cols>
  <sheetData>
    <row r="1" spans="1:14" ht="38.25" x14ac:dyDescent="0.25">
      <c r="A1" s="16" t="s">
        <v>45</v>
      </c>
      <c r="B1" s="16" t="s">
        <v>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39</v>
      </c>
      <c r="I1" s="16" t="s">
        <v>51</v>
      </c>
      <c r="J1" s="16" t="s">
        <v>52</v>
      </c>
      <c r="K1" s="16" t="s">
        <v>53</v>
      </c>
      <c r="M1" t="s">
        <v>1013</v>
      </c>
      <c r="N1">
        <f>SUM(I2:I55)</f>
        <v>149</v>
      </c>
    </row>
    <row r="2" spans="1:14" s="23" customFormat="1" x14ac:dyDescent="0.25">
      <c r="A2" s="20">
        <v>46293</v>
      </c>
      <c r="B2" s="21" t="s">
        <v>16</v>
      </c>
      <c r="C2" s="21" t="s">
        <v>707</v>
      </c>
      <c r="D2" s="21" t="s">
        <v>708</v>
      </c>
      <c r="E2" s="21" t="s">
        <v>537</v>
      </c>
      <c r="F2" s="21" t="s">
        <v>621</v>
      </c>
      <c r="G2" s="21" t="s">
        <v>709</v>
      </c>
      <c r="H2" s="21" t="s">
        <v>41</v>
      </c>
      <c r="I2" s="22">
        <v>5</v>
      </c>
      <c r="J2" s="21" t="s">
        <v>710</v>
      </c>
      <c r="K2" s="24">
        <f>IF(COUNTIFS($C$2:C2,C2)=1,1,0)</f>
        <v>1</v>
      </c>
    </row>
    <row r="3" spans="1:14" s="35" customFormat="1" hidden="1" x14ac:dyDescent="0.25">
      <c r="A3" s="30">
        <v>46293</v>
      </c>
      <c r="B3" s="31" t="s">
        <v>17</v>
      </c>
      <c r="C3" s="31" t="s">
        <v>711</v>
      </c>
      <c r="D3" s="31" t="s">
        <v>712</v>
      </c>
      <c r="E3" s="31" t="s">
        <v>693</v>
      </c>
      <c r="F3" s="31" t="s">
        <v>713</v>
      </c>
      <c r="G3" s="31" t="s">
        <v>714</v>
      </c>
      <c r="H3" s="31" t="s">
        <v>41</v>
      </c>
      <c r="I3" s="32">
        <v>4</v>
      </c>
      <c r="J3" s="31" t="s">
        <v>715</v>
      </c>
      <c r="K3" s="34">
        <f>IF(COUNTIFS($C$2:C3,C3)=1,1,0)</f>
        <v>1</v>
      </c>
    </row>
    <row r="4" spans="1:14" s="35" customFormat="1" hidden="1" x14ac:dyDescent="0.25">
      <c r="A4" s="30">
        <v>46293</v>
      </c>
      <c r="B4" s="31" t="s">
        <v>17</v>
      </c>
      <c r="C4" s="31" t="s">
        <v>716</v>
      </c>
      <c r="D4" s="31" t="s">
        <v>717</v>
      </c>
      <c r="E4" s="31" t="s">
        <v>693</v>
      </c>
      <c r="F4" s="31" t="s">
        <v>718</v>
      </c>
      <c r="G4" s="31" t="s">
        <v>719</v>
      </c>
      <c r="H4" s="31" t="s">
        <v>43</v>
      </c>
      <c r="I4" s="32">
        <v>3</v>
      </c>
      <c r="J4" s="31" t="s">
        <v>662</v>
      </c>
      <c r="K4" s="34">
        <f>IF(COUNTIFS($C$2:C4,C4)=1,1,0)</f>
        <v>1</v>
      </c>
    </row>
    <row r="5" spans="1:14" s="23" customFormat="1" x14ac:dyDescent="0.25">
      <c r="A5" s="20">
        <v>46293</v>
      </c>
      <c r="B5" s="21" t="s">
        <v>16</v>
      </c>
      <c r="C5" s="21" t="s">
        <v>720</v>
      </c>
      <c r="D5" s="21" t="s">
        <v>721</v>
      </c>
      <c r="E5" s="21" t="s">
        <v>537</v>
      </c>
      <c r="F5" s="21" t="s">
        <v>621</v>
      </c>
      <c r="G5" s="21" t="s">
        <v>722</v>
      </c>
      <c r="H5" s="21" t="s">
        <v>43</v>
      </c>
      <c r="I5" s="22">
        <v>2</v>
      </c>
      <c r="J5" s="21" t="s">
        <v>146</v>
      </c>
      <c r="K5" s="24">
        <f>IF(COUNTIFS($C$2:C5,C5)=1,1,0)</f>
        <v>1</v>
      </c>
    </row>
    <row r="6" spans="1:14" s="23" customFormat="1" hidden="1" x14ac:dyDescent="0.25">
      <c r="A6" s="20">
        <v>46293</v>
      </c>
      <c r="B6" s="21" t="s">
        <v>15</v>
      </c>
      <c r="C6" s="21" t="s">
        <v>723</v>
      </c>
      <c r="D6" s="21" t="s">
        <v>724</v>
      </c>
      <c r="E6" s="21" t="s">
        <v>359</v>
      </c>
      <c r="F6" s="21" t="s">
        <v>494</v>
      </c>
      <c r="G6" s="21" t="s">
        <v>725</v>
      </c>
      <c r="H6" s="21" t="s">
        <v>43</v>
      </c>
      <c r="I6" s="22">
        <v>2</v>
      </c>
      <c r="J6" s="21" t="s">
        <v>445</v>
      </c>
      <c r="K6" s="24">
        <f>IF(COUNTIFS($C$2:C6,C6)=1,1,0)</f>
        <v>1</v>
      </c>
    </row>
    <row r="7" spans="1:14" s="23" customFormat="1" hidden="1" x14ac:dyDescent="0.25">
      <c r="A7" s="20">
        <v>46293</v>
      </c>
      <c r="B7" s="21" t="s">
        <v>15</v>
      </c>
      <c r="C7" s="21" t="s">
        <v>726</v>
      </c>
      <c r="D7" s="21" t="s">
        <v>727</v>
      </c>
      <c r="E7" s="21" t="s">
        <v>359</v>
      </c>
      <c r="F7" s="21" t="s">
        <v>494</v>
      </c>
      <c r="G7" s="21" t="s">
        <v>728</v>
      </c>
      <c r="H7" s="21" t="s">
        <v>43</v>
      </c>
      <c r="I7" s="22">
        <v>2</v>
      </c>
      <c r="J7" s="21" t="s">
        <v>512</v>
      </c>
      <c r="K7" s="24">
        <f>IF(COUNTIFS($C$2:C7,C7)=1,1,0)</f>
        <v>1</v>
      </c>
    </row>
    <row r="8" spans="1:14" s="23" customFormat="1" hidden="1" x14ac:dyDescent="0.25">
      <c r="A8" s="20">
        <v>46293</v>
      </c>
      <c r="B8" s="21" t="s">
        <v>15</v>
      </c>
      <c r="C8" s="21" t="s">
        <v>729</v>
      </c>
      <c r="D8" s="21" t="s">
        <v>730</v>
      </c>
      <c r="E8" s="21" t="s">
        <v>359</v>
      </c>
      <c r="F8" s="21" t="s">
        <v>494</v>
      </c>
      <c r="G8" s="21" t="s">
        <v>731</v>
      </c>
      <c r="H8" s="21" t="s">
        <v>43</v>
      </c>
      <c r="I8" s="22">
        <v>1</v>
      </c>
      <c r="J8" s="21" t="s">
        <v>306</v>
      </c>
      <c r="K8" s="24">
        <f>IF(COUNTIFS($C$2:C8,C8)=1,1,0)</f>
        <v>1</v>
      </c>
    </row>
    <row r="9" spans="1:14" s="23" customFormat="1" hidden="1" x14ac:dyDescent="0.25">
      <c r="A9" s="20">
        <v>46293</v>
      </c>
      <c r="B9" s="21" t="s">
        <v>15</v>
      </c>
      <c r="C9" s="21" t="s">
        <v>732</v>
      </c>
      <c r="D9" s="21" t="s">
        <v>733</v>
      </c>
      <c r="E9" s="21" t="s">
        <v>359</v>
      </c>
      <c r="F9" s="21" t="s">
        <v>494</v>
      </c>
      <c r="G9" s="21" t="s">
        <v>734</v>
      </c>
      <c r="H9" s="21" t="s">
        <v>43</v>
      </c>
      <c r="I9" s="22">
        <v>1</v>
      </c>
      <c r="J9" s="21" t="s">
        <v>406</v>
      </c>
      <c r="K9" s="24">
        <f>IF(COUNTIFS($C$2:C9,C9)=1,1,0)</f>
        <v>1</v>
      </c>
    </row>
    <row r="10" spans="1:14" s="23" customFormat="1" x14ac:dyDescent="0.25">
      <c r="A10" s="20">
        <v>46294</v>
      </c>
      <c r="B10" s="21" t="s">
        <v>16</v>
      </c>
      <c r="C10" s="21" t="s">
        <v>735</v>
      </c>
      <c r="D10" s="21" t="s">
        <v>736</v>
      </c>
      <c r="E10" s="21" t="s">
        <v>537</v>
      </c>
      <c r="F10" s="21" t="s">
        <v>621</v>
      </c>
      <c r="G10" s="21" t="s">
        <v>737</v>
      </c>
      <c r="H10" s="21" t="s">
        <v>43</v>
      </c>
      <c r="I10" s="22">
        <v>6</v>
      </c>
      <c r="J10" s="21" t="s">
        <v>584</v>
      </c>
      <c r="K10" s="24">
        <f>IF(COUNTIFS($C$2:C10,C10)=1,1,0)</f>
        <v>1</v>
      </c>
    </row>
    <row r="11" spans="1:14" s="23" customFormat="1" x14ac:dyDescent="0.25">
      <c r="A11" s="20">
        <v>46294</v>
      </c>
      <c r="B11" s="21" t="s">
        <v>16</v>
      </c>
      <c r="C11" s="21" t="s">
        <v>738</v>
      </c>
      <c r="D11" s="21" t="s">
        <v>739</v>
      </c>
      <c r="E11" s="21" t="s">
        <v>537</v>
      </c>
      <c r="F11" s="21" t="s">
        <v>621</v>
      </c>
      <c r="G11" s="21" t="s">
        <v>740</v>
      </c>
      <c r="H11" s="21" t="s">
        <v>43</v>
      </c>
      <c r="I11" s="22">
        <v>3</v>
      </c>
      <c r="J11" s="21" t="s">
        <v>420</v>
      </c>
      <c r="K11" s="24">
        <f>IF(COUNTIFS($C$2:C11,C11)=1,1,0)</f>
        <v>1</v>
      </c>
      <c r="L11" s="23" t="s">
        <v>1014</v>
      </c>
    </row>
    <row r="12" spans="1:14" s="35" customFormat="1" hidden="1" x14ac:dyDescent="0.25">
      <c r="A12" s="30">
        <v>46294</v>
      </c>
      <c r="B12" s="31" t="s">
        <v>17</v>
      </c>
      <c r="C12" s="31" t="s">
        <v>741</v>
      </c>
      <c r="D12" s="31" t="s">
        <v>742</v>
      </c>
      <c r="E12" s="31" t="s">
        <v>693</v>
      </c>
      <c r="F12" s="31" t="s">
        <v>743</v>
      </c>
      <c r="G12" s="31" t="s">
        <v>744</v>
      </c>
      <c r="H12" s="31" t="s">
        <v>43</v>
      </c>
      <c r="I12" s="32">
        <v>3</v>
      </c>
      <c r="J12" s="31" t="s">
        <v>209</v>
      </c>
      <c r="K12" s="34">
        <f>IF(COUNTIFS($C$2:C12,C12)=1,1,0)</f>
        <v>1</v>
      </c>
    </row>
    <row r="13" spans="1:14" s="35" customFormat="1" hidden="1" x14ac:dyDescent="0.25">
      <c r="A13" s="30">
        <v>46294</v>
      </c>
      <c r="B13" s="31" t="s">
        <v>17</v>
      </c>
      <c r="C13" s="31" t="s">
        <v>745</v>
      </c>
      <c r="D13" s="31" t="s">
        <v>746</v>
      </c>
      <c r="E13" s="31" t="s">
        <v>693</v>
      </c>
      <c r="F13" s="31" t="s">
        <v>743</v>
      </c>
      <c r="G13" s="31" t="s">
        <v>744</v>
      </c>
      <c r="H13" s="31" t="s">
        <v>43</v>
      </c>
      <c r="I13" s="32">
        <v>3</v>
      </c>
      <c r="J13" s="31" t="s">
        <v>78</v>
      </c>
      <c r="K13" s="34">
        <f>IF(COUNTIFS($C$2:C13,C13)=1,1,0)</f>
        <v>1</v>
      </c>
    </row>
    <row r="14" spans="1:14" s="23" customFormat="1" hidden="1" x14ac:dyDescent="0.25">
      <c r="A14" s="20">
        <v>46294</v>
      </c>
      <c r="B14" s="21" t="s">
        <v>15</v>
      </c>
      <c r="C14" s="21" t="s">
        <v>747</v>
      </c>
      <c r="D14" s="21" t="s">
        <v>748</v>
      </c>
      <c r="E14" s="21" t="s">
        <v>749</v>
      </c>
      <c r="F14" s="21" t="s">
        <v>750</v>
      </c>
      <c r="G14" s="21" t="s">
        <v>751</v>
      </c>
      <c r="H14" s="21" t="s">
        <v>41</v>
      </c>
      <c r="I14" s="22">
        <v>2</v>
      </c>
      <c r="J14" s="21" t="s">
        <v>146</v>
      </c>
      <c r="K14" s="24">
        <f>IF(COUNTIFS($C$2:C14,C14)=1,1,0)</f>
        <v>1</v>
      </c>
    </row>
    <row r="15" spans="1:14" s="23" customFormat="1" x14ac:dyDescent="0.25">
      <c r="A15" s="20">
        <v>46294</v>
      </c>
      <c r="B15" s="21" t="s">
        <v>16</v>
      </c>
      <c r="C15" s="21" t="s">
        <v>752</v>
      </c>
      <c r="D15" s="21" t="s">
        <v>753</v>
      </c>
      <c r="E15" s="21" t="s">
        <v>537</v>
      </c>
      <c r="F15" s="21" t="s">
        <v>621</v>
      </c>
      <c r="G15" s="21" t="s">
        <v>754</v>
      </c>
      <c r="H15" s="21" t="s">
        <v>43</v>
      </c>
      <c r="I15" s="22">
        <v>1</v>
      </c>
      <c r="J15" s="21" t="s">
        <v>703</v>
      </c>
      <c r="K15" s="24">
        <f>IF(COUNTIFS($C$2:C15,C15)=1,1,0)</f>
        <v>1</v>
      </c>
    </row>
    <row r="16" spans="1:14" s="23" customFormat="1" x14ac:dyDescent="0.25">
      <c r="A16" s="20">
        <v>46294</v>
      </c>
      <c r="B16" s="21" t="s">
        <v>16</v>
      </c>
      <c r="C16" s="21" t="s">
        <v>755</v>
      </c>
      <c r="D16" s="21" t="s">
        <v>756</v>
      </c>
      <c r="E16" s="21" t="s">
        <v>537</v>
      </c>
      <c r="F16" s="21" t="s">
        <v>621</v>
      </c>
      <c r="G16" s="21" t="s">
        <v>757</v>
      </c>
      <c r="H16" s="21" t="s">
        <v>43</v>
      </c>
      <c r="I16" s="22">
        <v>1</v>
      </c>
      <c r="J16" s="21" t="s">
        <v>406</v>
      </c>
      <c r="K16" s="24">
        <f>IF(COUNTIFS($C$2:C16,C16)=1,1,0)</f>
        <v>1</v>
      </c>
    </row>
    <row r="17" spans="1:11" s="23" customFormat="1" hidden="1" x14ac:dyDescent="0.25">
      <c r="A17" s="20">
        <v>46294</v>
      </c>
      <c r="B17" s="21" t="s">
        <v>15</v>
      </c>
      <c r="C17" s="21" t="s">
        <v>758</v>
      </c>
      <c r="D17" s="21" t="s">
        <v>759</v>
      </c>
      <c r="E17" s="21" t="s">
        <v>749</v>
      </c>
      <c r="F17" s="21" t="s">
        <v>750</v>
      </c>
      <c r="G17" s="21" t="s">
        <v>760</v>
      </c>
      <c r="H17" s="21" t="s">
        <v>43</v>
      </c>
      <c r="I17" s="22">
        <v>1</v>
      </c>
      <c r="J17" s="21" t="s">
        <v>63</v>
      </c>
      <c r="K17" s="24">
        <f>IF(COUNTIFS($C$2:C17,C17)=1,1,0)</f>
        <v>1</v>
      </c>
    </row>
    <row r="18" spans="1:11" s="23" customFormat="1" hidden="1" x14ac:dyDescent="0.25">
      <c r="A18" s="20">
        <v>46294</v>
      </c>
      <c r="B18" s="21" t="s">
        <v>15</v>
      </c>
      <c r="C18" s="21" t="s">
        <v>761</v>
      </c>
      <c r="D18" s="21" t="s">
        <v>762</v>
      </c>
      <c r="E18" s="21" t="s">
        <v>359</v>
      </c>
      <c r="F18" s="21" t="s">
        <v>494</v>
      </c>
      <c r="G18" s="21" t="s">
        <v>763</v>
      </c>
      <c r="H18" s="21" t="s">
        <v>43</v>
      </c>
      <c r="I18" s="22">
        <v>1</v>
      </c>
      <c r="J18" s="21" t="s">
        <v>227</v>
      </c>
      <c r="K18" s="24">
        <f>IF(COUNTIFS($C$2:C18,C18)=1,1,0)</f>
        <v>1</v>
      </c>
    </row>
    <row r="19" spans="1:11" s="23" customFormat="1" hidden="1" x14ac:dyDescent="0.25">
      <c r="A19" s="20">
        <v>46294</v>
      </c>
      <c r="B19" s="21" t="s">
        <v>15</v>
      </c>
      <c r="C19" s="21" t="s">
        <v>764</v>
      </c>
      <c r="D19" s="21" t="s">
        <v>765</v>
      </c>
      <c r="E19" s="21" t="s">
        <v>359</v>
      </c>
      <c r="F19" s="21" t="s">
        <v>494</v>
      </c>
      <c r="G19" s="21" t="s">
        <v>766</v>
      </c>
      <c r="H19" s="21" t="s">
        <v>43</v>
      </c>
      <c r="I19" s="22">
        <v>1</v>
      </c>
      <c r="J19" s="21" t="s">
        <v>767</v>
      </c>
      <c r="K19" s="24">
        <f>IF(COUNTIFS($C$2:C19,C19)=1,1,0)</f>
        <v>1</v>
      </c>
    </row>
    <row r="20" spans="1:11" s="23" customFormat="1" x14ac:dyDescent="0.25">
      <c r="A20" s="20">
        <v>46295</v>
      </c>
      <c r="B20" s="21" t="s">
        <v>16</v>
      </c>
      <c r="C20" s="21" t="s">
        <v>768</v>
      </c>
      <c r="D20" s="21" t="s">
        <v>769</v>
      </c>
      <c r="E20" s="21" t="s">
        <v>537</v>
      </c>
      <c r="F20" s="21" t="s">
        <v>770</v>
      </c>
      <c r="G20" s="21" t="s">
        <v>771</v>
      </c>
      <c r="H20" s="21" t="s">
        <v>40</v>
      </c>
      <c r="I20" s="22">
        <v>6</v>
      </c>
      <c r="J20" s="21" t="s">
        <v>135</v>
      </c>
      <c r="K20" s="24">
        <f>IF(COUNTIFS($C$2:C20,C20)=1,1,0)</f>
        <v>1</v>
      </c>
    </row>
    <row r="21" spans="1:11" s="23" customFormat="1" hidden="1" x14ac:dyDescent="0.25">
      <c r="A21" s="20">
        <v>46295</v>
      </c>
      <c r="B21" s="21" t="s">
        <v>15</v>
      </c>
      <c r="C21" s="21" t="s">
        <v>772</v>
      </c>
      <c r="D21" s="21" t="s">
        <v>773</v>
      </c>
      <c r="E21" s="21" t="s">
        <v>749</v>
      </c>
      <c r="F21" s="21" t="s">
        <v>774</v>
      </c>
      <c r="G21" s="21" t="s">
        <v>775</v>
      </c>
      <c r="H21" s="21" t="s">
        <v>41</v>
      </c>
      <c r="I21" s="22">
        <v>5</v>
      </c>
      <c r="J21" s="21" t="s">
        <v>362</v>
      </c>
      <c r="K21" s="24">
        <f>IF(COUNTIFS($C$2:C21,C21)=1,1,0)</f>
        <v>1</v>
      </c>
    </row>
    <row r="22" spans="1:11" s="35" customFormat="1" hidden="1" x14ac:dyDescent="0.25">
      <c r="A22" s="30">
        <v>46295</v>
      </c>
      <c r="B22" s="31" t="s">
        <v>17</v>
      </c>
      <c r="C22" s="31" t="s">
        <v>776</v>
      </c>
      <c r="D22" s="31" t="s">
        <v>777</v>
      </c>
      <c r="E22" s="31" t="s">
        <v>693</v>
      </c>
      <c r="F22" s="31" t="s">
        <v>743</v>
      </c>
      <c r="G22" s="31" t="s">
        <v>744</v>
      </c>
      <c r="H22" s="31" t="s">
        <v>43</v>
      </c>
      <c r="I22" s="32">
        <v>5</v>
      </c>
      <c r="J22" s="31" t="s">
        <v>778</v>
      </c>
      <c r="K22" s="34">
        <f>IF(COUNTIFS($C$2:C22,C22)=1,1,0)</f>
        <v>1</v>
      </c>
    </row>
    <row r="23" spans="1:11" s="23" customFormat="1" x14ac:dyDescent="0.25">
      <c r="A23" s="20">
        <v>46295</v>
      </c>
      <c r="B23" s="21" t="s">
        <v>16</v>
      </c>
      <c r="C23" s="21" t="s">
        <v>779</v>
      </c>
      <c r="D23" s="21" t="s">
        <v>780</v>
      </c>
      <c r="E23" s="21" t="s">
        <v>537</v>
      </c>
      <c r="F23" s="21" t="s">
        <v>582</v>
      </c>
      <c r="G23" s="21" t="s">
        <v>781</v>
      </c>
      <c r="H23" s="21" t="s">
        <v>43</v>
      </c>
      <c r="I23" s="22">
        <v>3</v>
      </c>
      <c r="J23" s="21" t="s">
        <v>782</v>
      </c>
      <c r="K23" s="24">
        <f>IF(COUNTIFS($C$2:C23,C23)=1,1,0)</f>
        <v>1</v>
      </c>
    </row>
    <row r="24" spans="1:11" s="35" customFormat="1" hidden="1" x14ac:dyDescent="0.25">
      <c r="A24" s="30">
        <v>46295</v>
      </c>
      <c r="B24" s="31" t="s">
        <v>17</v>
      </c>
      <c r="C24" s="31" t="s">
        <v>783</v>
      </c>
      <c r="D24" s="31" t="s">
        <v>784</v>
      </c>
      <c r="E24" s="31" t="s">
        <v>693</v>
      </c>
      <c r="F24" s="31" t="s">
        <v>785</v>
      </c>
      <c r="G24" s="31" t="s">
        <v>786</v>
      </c>
      <c r="H24" s="31" t="s">
        <v>41</v>
      </c>
      <c r="I24" s="32">
        <v>1</v>
      </c>
      <c r="J24" s="31" t="s">
        <v>371</v>
      </c>
      <c r="K24" s="34">
        <f>IF(COUNTIFS($C$2:C24,C24)=1,1,0)</f>
        <v>1</v>
      </c>
    </row>
    <row r="25" spans="1:11" s="23" customFormat="1" hidden="1" x14ac:dyDescent="0.25">
      <c r="A25" s="20">
        <v>46295</v>
      </c>
      <c r="B25" s="21" t="s">
        <v>15</v>
      </c>
      <c r="C25" s="21" t="s">
        <v>787</v>
      </c>
      <c r="D25" s="21" t="s">
        <v>788</v>
      </c>
      <c r="E25" s="21" t="s">
        <v>749</v>
      </c>
      <c r="F25" s="21" t="s">
        <v>789</v>
      </c>
      <c r="G25" s="21" t="s">
        <v>790</v>
      </c>
      <c r="H25" s="21" t="s">
        <v>41</v>
      </c>
      <c r="I25" s="22">
        <v>1</v>
      </c>
      <c r="J25" s="21" t="s">
        <v>683</v>
      </c>
      <c r="K25" s="24">
        <f>IF(COUNTIFS($C$2:C25,C25)=1,1,0)</f>
        <v>1</v>
      </c>
    </row>
    <row r="26" spans="1:11" s="23" customFormat="1" hidden="1" x14ac:dyDescent="0.25">
      <c r="A26" s="20">
        <v>46295</v>
      </c>
      <c r="B26" s="21" t="s">
        <v>15</v>
      </c>
      <c r="C26" s="21" t="s">
        <v>791</v>
      </c>
      <c r="D26" s="21" t="s">
        <v>792</v>
      </c>
      <c r="E26" s="21" t="s">
        <v>749</v>
      </c>
      <c r="F26" s="21" t="s">
        <v>789</v>
      </c>
      <c r="G26" s="21" t="s">
        <v>793</v>
      </c>
      <c r="H26" s="21" t="s">
        <v>43</v>
      </c>
      <c r="I26" s="22">
        <v>1</v>
      </c>
      <c r="J26" s="21" t="s">
        <v>429</v>
      </c>
      <c r="K26" s="24">
        <f>IF(COUNTIFS($C$2:C26,C26)=1,1,0)</f>
        <v>1</v>
      </c>
    </row>
    <row r="27" spans="1:11" s="23" customFormat="1" hidden="1" x14ac:dyDescent="0.25">
      <c r="A27" s="20">
        <v>46296</v>
      </c>
      <c r="B27" s="21" t="s">
        <v>15</v>
      </c>
      <c r="C27" s="21" t="s">
        <v>794</v>
      </c>
      <c r="D27" s="21" t="s">
        <v>795</v>
      </c>
      <c r="E27" s="21" t="s">
        <v>749</v>
      </c>
      <c r="F27" s="21" t="s">
        <v>796</v>
      </c>
      <c r="G27" s="21" t="s">
        <v>797</v>
      </c>
      <c r="H27" s="21" t="s">
        <v>41</v>
      </c>
      <c r="I27" s="22">
        <v>4</v>
      </c>
      <c r="J27" s="21" t="s">
        <v>798</v>
      </c>
      <c r="K27" s="24">
        <f>IF(COUNTIFS($C$2:C27,C27)=1,1,0)</f>
        <v>1</v>
      </c>
    </row>
    <row r="28" spans="1:11" s="35" customFormat="1" hidden="1" x14ac:dyDescent="0.25">
      <c r="A28" s="30">
        <v>46296</v>
      </c>
      <c r="B28" s="31" t="s">
        <v>17</v>
      </c>
      <c r="C28" s="31" t="s">
        <v>799</v>
      </c>
      <c r="D28" s="31" t="s">
        <v>800</v>
      </c>
      <c r="E28" s="31" t="s">
        <v>693</v>
      </c>
      <c r="F28" s="31" t="s">
        <v>801</v>
      </c>
      <c r="G28" s="31" t="s">
        <v>802</v>
      </c>
      <c r="H28" s="31" t="s">
        <v>41</v>
      </c>
      <c r="I28" s="32">
        <v>3</v>
      </c>
      <c r="J28" s="31" t="s">
        <v>803</v>
      </c>
      <c r="K28" s="34">
        <f>IF(COUNTIFS($C$2:C28,C28)=1,1,0)</f>
        <v>1</v>
      </c>
    </row>
    <row r="29" spans="1:11" s="35" customFormat="1" hidden="1" x14ac:dyDescent="0.25">
      <c r="A29" s="30">
        <v>46296</v>
      </c>
      <c r="B29" s="31" t="s">
        <v>17</v>
      </c>
      <c r="C29" s="33" t="s">
        <v>804</v>
      </c>
      <c r="D29" s="31" t="s">
        <v>805</v>
      </c>
      <c r="E29" s="31" t="s">
        <v>693</v>
      </c>
      <c r="F29" s="31" t="s">
        <v>806</v>
      </c>
      <c r="G29" s="31" t="s">
        <v>807</v>
      </c>
      <c r="H29" s="31" t="s">
        <v>43</v>
      </c>
      <c r="I29" s="32">
        <v>3</v>
      </c>
      <c r="J29" s="31" t="s">
        <v>808</v>
      </c>
      <c r="K29" s="34">
        <f>IF(COUNTIFS($C$2:C29,C29)=1,1,0)</f>
        <v>1</v>
      </c>
    </row>
    <row r="30" spans="1:11" s="23" customFormat="1" hidden="1" x14ac:dyDescent="0.25">
      <c r="A30" s="20">
        <v>46296</v>
      </c>
      <c r="B30" s="21" t="s">
        <v>15</v>
      </c>
      <c r="C30" s="21" t="s">
        <v>809</v>
      </c>
      <c r="D30" s="21" t="s">
        <v>810</v>
      </c>
      <c r="E30" s="21" t="s">
        <v>749</v>
      </c>
      <c r="F30" s="21" t="s">
        <v>796</v>
      </c>
      <c r="G30" s="21" t="s">
        <v>811</v>
      </c>
      <c r="H30" s="21" t="s">
        <v>43</v>
      </c>
      <c r="I30" s="22">
        <v>1</v>
      </c>
      <c r="J30" s="21" t="s">
        <v>812</v>
      </c>
      <c r="K30" s="24">
        <f>IF(COUNTIFS($C$2:C30,C30)=1,1,0)</f>
        <v>1</v>
      </c>
    </row>
    <row r="31" spans="1:11" s="23" customFormat="1" hidden="1" x14ac:dyDescent="0.25">
      <c r="A31" s="20">
        <v>46296</v>
      </c>
      <c r="B31" s="21" t="s">
        <v>15</v>
      </c>
      <c r="C31" s="21" t="s">
        <v>813</v>
      </c>
      <c r="D31" s="21" t="s">
        <v>814</v>
      </c>
      <c r="E31" s="21" t="s">
        <v>749</v>
      </c>
      <c r="F31" s="21" t="s">
        <v>815</v>
      </c>
      <c r="G31" s="21" t="s">
        <v>816</v>
      </c>
      <c r="H31" s="21" t="s">
        <v>43</v>
      </c>
      <c r="I31" s="22">
        <v>1</v>
      </c>
      <c r="J31" s="21" t="s">
        <v>306</v>
      </c>
      <c r="K31" s="24">
        <f>IF(COUNTIFS($C$2:C31,C31)=1,1,0)</f>
        <v>1</v>
      </c>
    </row>
    <row r="32" spans="1:11" s="23" customFormat="1" hidden="1" x14ac:dyDescent="0.25">
      <c r="A32" s="20">
        <v>46297</v>
      </c>
      <c r="B32" s="21" t="s">
        <v>15</v>
      </c>
      <c r="C32" s="21" t="s">
        <v>817</v>
      </c>
      <c r="D32" s="21" t="s">
        <v>818</v>
      </c>
      <c r="E32" s="21" t="s">
        <v>749</v>
      </c>
      <c r="F32" s="21" t="s">
        <v>774</v>
      </c>
      <c r="G32" s="21" t="s">
        <v>819</v>
      </c>
      <c r="H32" s="21" t="s">
        <v>41</v>
      </c>
      <c r="I32" s="22">
        <v>3</v>
      </c>
      <c r="J32" s="21" t="s">
        <v>165</v>
      </c>
      <c r="K32" s="24">
        <f>IF(COUNTIFS($C$2:C32,C32)=1,1,0)</f>
        <v>1</v>
      </c>
    </row>
    <row r="33" spans="1:11" s="23" customFormat="1" hidden="1" x14ac:dyDescent="0.25">
      <c r="A33" s="20">
        <v>46297</v>
      </c>
      <c r="B33" s="21" t="s">
        <v>15</v>
      </c>
      <c r="C33" s="21" t="s">
        <v>820</v>
      </c>
      <c r="D33" s="21" t="s">
        <v>821</v>
      </c>
      <c r="E33" s="21" t="s">
        <v>749</v>
      </c>
      <c r="F33" s="21" t="s">
        <v>774</v>
      </c>
      <c r="G33" s="21" t="s">
        <v>822</v>
      </c>
      <c r="H33" s="21" t="s">
        <v>41</v>
      </c>
      <c r="I33" s="22">
        <v>3</v>
      </c>
      <c r="J33" s="21" t="s">
        <v>823</v>
      </c>
      <c r="K33" s="24">
        <f>IF(COUNTIFS($C$2:C33,C33)=1,1,0)</f>
        <v>1</v>
      </c>
    </row>
    <row r="34" spans="1:11" s="23" customFormat="1" hidden="1" x14ac:dyDescent="0.25">
      <c r="A34" s="20">
        <v>46297</v>
      </c>
      <c r="B34" s="21" t="s">
        <v>15</v>
      </c>
      <c r="C34" s="21" t="s">
        <v>824</v>
      </c>
      <c r="D34" s="21" t="s">
        <v>825</v>
      </c>
      <c r="E34" s="21" t="s">
        <v>749</v>
      </c>
      <c r="F34" s="21" t="s">
        <v>826</v>
      </c>
      <c r="G34" s="21" t="s">
        <v>827</v>
      </c>
      <c r="H34" s="21" t="s">
        <v>41</v>
      </c>
      <c r="I34" s="22">
        <v>2</v>
      </c>
      <c r="J34" s="21" t="s">
        <v>353</v>
      </c>
      <c r="K34" s="24">
        <f>IF(COUNTIFS($C$2:C34,C34)=1,1,0)</f>
        <v>1</v>
      </c>
    </row>
    <row r="35" spans="1:11" x14ac:dyDescent="0.25">
      <c r="A35" s="19">
        <v>46300</v>
      </c>
      <c r="B35" s="4" t="s">
        <v>16</v>
      </c>
      <c r="C35" s="4" t="s">
        <v>828</v>
      </c>
      <c r="D35" s="4" t="s">
        <v>829</v>
      </c>
      <c r="E35" s="4" t="s">
        <v>537</v>
      </c>
      <c r="F35" s="4" t="s">
        <v>830</v>
      </c>
      <c r="G35" s="4" t="s">
        <v>831</v>
      </c>
      <c r="H35" s="4" t="s">
        <v>41</v>
      </c>
      <c r="I35" s="8">
        <v>2</v>
      </c>
      <c r="J35" s="4" t="s">
        <v>272</v>
      </c>
      <c r="K35" s="17">
        <f>IF(COUNTIFS($C$2:C35,C35)=1,1,0)</f>
        <v>1</v>
      </c>
    </row>
    <row r="36" spans="1:11" x14ac:dyDescent="0.25">
      <c r="A36" s="19">
        <v>46300</v>
      </c>
      <c r="B36" s="4" t="s">
        <v>16</v>
      </c>
      <c r="C36" s="4" t="s">
        <v>832</v>
      </c>
      <c r="D36" s="4" t="s">
        <v>833</v>
      </c>
      <c r="E36" s="4" t="s">
        <v>537</v>
      </c>
      <c r="F36" s="4" t="s">
        <v>834</v>
      </c>
      <c r="G36" s="4" t="s">
        <v>835</v>
      </c>
      <c r="H36" s="4" t="s">
        <v>43</v>
      </c>
      <c r="I36" s="8">
        <v>1</v>
      </c>
      <c r="J36" s="4" t="s">
        <v>302</v>
      </c>
      <c r="K36" s="17">
        <f>IF(COUNTIFS($C$2:C36,C36)=1,1,0)</f>
        <v>1</v>
      </c>
    </row>
    <row r="37" spans="1:11" x14ac:dyDescent="0.25">
      <c r="A37" s="19">
        <v>46300</v>
      </c>
      <c r="B37" s="4" t="s">
        <v>16</v>
      </c>
      <c r="C37" s="4" t="s">
        <v>836</v>
      </c>
      <c r="D37" s="4" t="s">
        <v>837</v>
      </c>
      <c r="E37" s="4" t="s">
        <v>537</v>
      </c>
      <c r="F37" s="4" t="s">
        <v>830</v>
      </c>
      <c r="G37" s="4" t="s">
        <v>838</v>
      </c>
      <c r="H37" s="4" t="s">
        <v>43</v>
      </c>
      <c r="I37" s="8">
        <v>1</v>
      </c>
      <c r="J37" s="4" t="s">
        <v>306</v>
      </c>
      <c r="K37" s="17">
        <f>IF(COUNTIFS($C$2:C37,C37)=1,1,0)</f>
        <v>1</v>
      </c>
    </row>
    <row r="38" spans="1:11" hidden="1" x14ac:dyDescent="0.25">
      <c r="A38" s="19">
        <v>46301</v>
      </c>
      <c r="B38" s="4" t="s">
        <v>15</v>
      </c>
      <c r="C38" s="4" t="s">
        <v>839</v>
      </c>
      <c r="D38" s="4" t="s">
        <v>840</v>
      </c>
      <c r="E38" s="4" t="s">
        <v>749</v>
      </c>
      <c r="F38" s="4" t="s">
        <v>774</v>
      </c>
      <c r="G38" s="4" t="s">
        <v>841</v>
      </c>
      <c r="H38" s="4" t="s">
        <v>41</v>
      </c>
      <c r="I38" s="8">
        <v>6</v>
      </c>
      <c r="J38" s="4" t="s">
        <v>568</v>
      </c>
      <c r="K38" s="17">
        <f>IF(COUNTIFS($C$2:C38,C38)=1,1,0)</f>
        <v>1</v>
      </c>
    </row>
    <row r="39" spans="1:11" s="35" customFormat="1" hidden="1" x14ac:dyDescent="0.25">
      <c r="A39" s="30">
        <v>46301</v>
      </c>
      <c r="B39" s="31" t="s">
        <v>17</v>
      </c>
      <c r="C39" s="31" t="s">
        <v>842</v>
      </c>
      <c r="D39" s="31" t="s">
        <v>843</v>
      </c>
      <c r="E39" s="31" t="s">
        <v>385</v>
      </c>
      <c r="F39" s="31" t="s">
        <v>844</v>
      </c>
      <c r="G39" s="31" t="s">
        <v>845</v>
      </c>
      <c r="H39" s="31" t="s">
        <v>41</v>
      </c>
      <c r="I39" s="32">
        <v>4</v>
      </c>
      <c r="J39" s="31" t="s">
        <v>603</v>
      </c>
      <c r="K39" s="34">
        <f>IF(COUNTIFS($C$2:C39,C39)=1,1,0)</f>
        <v>1</v>
      </c>
    </row>
    <row r="40" spans="1:11" s="35" customFormat="1" hidden="1" x14ac:dyDescent="0.25">
      <c r="A40" s="30">
        <v>46301</v>
      </c>
      <c r="B40" s="31" t="s">
        <v>17</v>
      </c>
      <c r="C40" s="31" t="s">
        <v>846</v>
      </c>
      <c r="D40" s="31" t="s">
        <v>847</v>
      </c>
      <c r="E40" s="31" t="s">
        <v>385</v>
      </c>
      <c r="F40" s="31" t="s">
        <v>848</v>
      </c>
      <c r="G40" s="31" t="s">
        <v>849</v>
      </c>
      <c r="H40" s="31" t="s">
        <v>41</v>
      </c>
      <c r="I40" s="32">
        <v>3</v>
      </c>
      <c r="J40" s="31" t="s">
        <v>87</v>
      </c>
      <c r="K40" s="34">
        <f>IF(COUNTIFS($C$2:C40,C40)=1,1,0)</f>
        <v>1</v>
      </c>
    </row>
    <row r="41" spans="1:11" x14ac:dyDescent="0.25">
      <c r="A41" s="19">
        <v>46301</v>
      </c>
      <c r="B41" s="4" t="s">
        <v>16</v>
      </c>
      <c r="C41" s="4" t="s">
        <v>850</v>
      </c>
      <c r="D41" s="4" t="s">
        <v>851</v>
      </c>
      <c r="E41" s="4" t="s">
        <v>537</v>
      </c>
      <c r="F41" s="4" t="s">
        <v>834</v>
      </c>
      <c r="G41" s="4" t="s">
        <v>852</v>
      </c>
      <c r="H41" s="4" t="s">
        <v>41</v>
      </c>
      <c r="I41" s="8">
        <v>2</v>
      </c>
      <c r="J41" s="4" t="s">
        <v>267</v>
      </c>
      <c r="K41" s="17">
        <f>IF(COUNTIFS($C$2:C41,C41)=1,1,0)</f>
        <v>1</v>
      </c>
    </row>
    <row r="42" spans="1:11" x14ac:dyDescent="0.25">
      <c r="A42" s="19">
        <v>46301</v>
      </c>
      <c r="B42" s="4" t="s">
        <v>16</v>
      </c>
      <c r="C42" s="4" t="s">
        <v>853</v>
      </c>
      <c r="D42" s="4" t="s">
        <v>854</v>
      </c>
      <c r="E42" s="4" t="s">
        <v>855</v>
      </c>
      <c r="F42" s="4" t="s">
        <v>856</v>
      </c>
      <c r="G42" s="4" t="s">
        <v>857</v>
      </c>
      <c r="H42" s="4" t="s">
        <v>41</v>
      </c>
      <c r="I42" s="8">
        <v>2</v>
      </c>
      <c r="J42" s="4" t="s">
        <v>371</v>
      </c>
      <c r="K42" s="17">
        <f>IF(COUNTIFS($C$2:C42,C42)=1,1,0)</f>
        <v>1</v>
      </c>
    </row>
    <row r="43" spans="1:11" hidden="1" x14ac:dyDescent="0.25">
      <c r="A43" s="19">
        <v>46301</v>
      </c>
      <c r="B43" s="4" t="s">
        <v>15</v>
      </c>
      <c r="C43" s="4" t="s">
        <v>858</v>
      </c>
      <c r="D43" s="4" t="s">
        <v>859</v>
      </c>
      <c r="E43" s="4" t="s">
        <v>749</v>
      </c>
      <c r="F43" s="4" t="s">
        <v>774</v>
      </c>
      <c r="G43" s="4" t="s">
        <v>860</v>
      </c>
      <c r="H43" s="4" t="s">
        <v>43</v>
      </c>
      <c r="I43" s="8">
        <v>2</v>
      </c>
      <c r="J43" s="4" t="s">
        <v>371</v>
      </c>
      <c r="K43" s="17">
        <f>IF(COUNTIFS($C$2:C43,C43)=1,1,0)</f>
        <v>1</v>
      </c>
    </row>
    <row r="44" spans="1:11" x14ac:dyDescent="0.25">
      <c r="A44" s="19">
        <v>46301</v>
      </c>
      <c r="B44" s="4" t="s">
        <v>16</v>
      </c>
      <c r="C44" s="4" t="s">
        <v>861</v>
      </c>
      <c r="D44" s="4" t="s">
        <v>862</v>
      </c>
      <c r="E44" s="4" t="s">
        <v>537</v>
      </c>
      <c r="F44" s="4" t="s">
        <v>863</v>
      </c>
      <c r="G44" s="4" t="s">
        <v>864</v>
      </c>
      <c r="H44" s="4" t="s">
        <v>41</v>
      </c>
      <c r="I44" s="8">
        <v>1</v>
      </c>
      <c r="J44" s="4" t="s">
        <v>96</v>
      </c>
      <c r="K44" s="17">
        <f>IF(COUNTIFS($C$2:C44,C44)=1,1,0)</f>
        <v>1</v>
      </c>
    </row>
    <row r="45" spans="1:11" x14ac:dyDescent="0.25">
      <c r="A45" s="19">
        <v>46302</v>
      </c>
      <c r="B45" s="4" t="s">
        <v>16</v>
      </c>
      <c r="C45" s="4" t="s">
        <v>865</v>
      </c>
      <c r="D45" s="4" t="s">
        <v>866</v>
      </c>
      <c r="E45" s="4" t="s">
        <v>855</v>
      </c>
      <c r="F45" s="4" t="s">
        <v>867</v>
      </c>
      <c r="G45" s="4" t="s">
        <v>868</v>
      </c>
      <c r="H45" s="4" t="s">
        <v>41</v>
      </c>
      <c r="I45" s="8">
        <v>8</v>
      </c>
      <c r="J45" s="4" t="s">
        <v>869</v>
      </c>
      <c r="K45" s="17">
        <f>IF(COUNTIFS($C$2:C45,C45)=1,1,0)</f>
        <v>1</v>
      </c>
    </row>
    <row r="46" spans="1:11" hidden="1" x14ac:dyDescent="0.25">
      <c r="A46" s="19">
        <v>46302</v>
      </c>
      <c r="B46" s="4" t="s">
        <v>15</v>
      </c>
      <c r="C46" s="4" t="s">
        <v>870</v>
      </c>
      <c r="D46" s="4" t="s">
        <v>871</v>
      </c>
      <c r="E46" s="4" t="s">
        <v>749</v>
      </c>
      <c r="F46" s="4" t="s">
        <v>774</v>
      </c>
      <c r="G46" s="4" t="s">
        <v>872</v>
      </c>
      <c r="H46" s="4" t="s">
        <v>41</v>
      </c>
      <c r="I46" s="8">
        <v>7</v>
      </c>
      <c r="J46" s="4" t="s">
        <v>534</v>
      </c>
      <c r="K46" s="17">
        <f>IF(COUNTIFS($C$2:C46,C46)=1,1,0)</f>
        <v>1</v>
      </c>
    </row>
    <row r="47" spans="1:11" x14ac:dyDescent="0.25">
      <c r="A47" s="19">
        <v>46302</v>
      </c>
      <c r="B47" s="4" t="s">
        <v>16</v>
      </c>
      <c r="C47" s="4" t="s">
        <v>873</v>
      </c>
      <c r="D47" s="4" t="s">
        <v>874</v>
      </c>
      <c r="E47" s="4" t="s">
        <v>855</v>
      </c>
      <c r="F47" s="4" t="s">
        <v>867</v>
      </c>
      <c r="G47" s="4" t="s">
        <v>875</v>
      </c>
      <c r="H47" s="4" t="s">
        <v>41</v>
      </c>
      <c r="I47" s="8">
        <v>3</v>
      </c>
      <c r="J47" s="4" t="s">
        <v>876</v>
      </c>
      <c r="K47" s="17">
        <f>IF(COUNTIFS($C$2:C47,C47)=1,1,0)</f>
        <v>1</v>
      </c>
    </row>
    <row r="48" spans="1:11" s="35" customFormat="1" hidden="1" x14ac:dyDescent="0.25">
      <c r="A48" s="30">
        <v>46302</v>
      </c>
      <c r="B48" s="31" t="s">
        <v>17</v>
      </c>
      <c r="C48" s="31" t="s">
        <v>877</v>
      </c>
      <c r="D48" s="31" t="s">
        <v>878</v>
      </c>
      <c r="E48" s="31" t="s">
        <v>385</v>
      </c>
      <c r="F48" s="31" t="s">
        <v>848</v>
      </c>
      <c r="G48" s="31" t="s">
        <v>879</v>
      </c>
      <c r="H48" s="31" t="s">
        <v>41</v>
      </c>
      <c r="I48" s="32">
        <v>3</v>
      </c>
      <c r="J48" s="31" t="s">
        <v>209</v>
      </c>
      <c r="K48" s="34">
        <f>IF(COUNTIFS($C$2:C48,C48)=1,1,0)</f>
        <v>1</v>
      </c>
    </row>
    <row r="49" spans="1:11" hidden="1" x14ac:dyDescent="0.25">
      <c r="A49" s="19">
        <v>46302</v>
      </c>
      <c r="B49" s="4" t="s">
        <v>15</v>
      </c>
      <c r="C49" s="4" t="s">
        <v>880</v>
      </c>
      <c r="D49" s="4" t="s">
        <v>881</v>
      </c>
      <c r="E49" s="4" t="s">
        <v>749</v>
      </c>
      <c r="F49" s="4" t="s">
        <v>774</v>
      </c>
      <c r="G49" s="4" t="s">
        <v>882</v>
      </c>
      <c r="H49" s="4" t="s">
        <v>43</v>
      </c>
      <c r="I49" s="8">
        <v>3</v>
      </c>
      <c r="J49" s="4" t="s">
        <v>116</v>
      </c>
      <c r="K49" s="17">
        <f>IF(COUNTIFS($C$2:C49,C49)=1,1,0)</f>
        <v>1</v>
      </c>
    </row>
    <row r="50" spans="1:11" hidden="1" x14ac:dyDescent="0.25">
      <c r="A50" s="19">
        <v>46302</v>
      </c>
      <c r="B50" s="4" t="s">
        <v>15</v>
      </c>
      <c r="C50" s="4" t="s">
        <v>883</v>
      </c>
      <c r="D50" s="4" t="s">
        <v>884</v>
      </c>
      <c r="E50" s="4" t="s">
        <v>749</v>
      </c>
      <c r="F50" s="4" t="s">
        <v>885</v>
      </c>
      <c r="G50" s="4" t="s">
        <v>886</v>
      </c>
      <c r="H50" s="4" t="s">
        <v>43</v>
      </c>
      <c r="I50" s="8">
        <v>1</v>
      </c>
      <c r="J50" s="4" t="s">
        <v>406</v>
      </c>
      <c r="K50" s="17">
        <f>IF(COUNTIFS($C$2:C50,C50)=1,1,0)</f>
        <v>1</v>
      </c>
    </row>
    <row r="51" spans="1:11" x14ac:dyDescent="0.25">
      <c r="A51" s="19">
        <v>46303</v>
      </c>
      <c r="B51" s="4" t="s">
        <v>16</v>
      </c>
      <c r="C51" s="4" t="s">
        <v>887</v>
      </c>
      <c r="D51" s="4" t="s">
        <v>888</v>
      </c>
      <c r="E51" s="4" t="s">
        <v>855</v>
      </c>
      <c r="F51" s="4" t="s">
        <v>867</v>
      </c>
      <c r="G51" s="4" t="s">
        <v>889</v>
      </c>
      <c r="H51" s="4" t="s">
        <v>41</v>
      </c>
      <c r="I51" s="8">
        <v>6</v>
      </c>
      <c r="J51" s="4" t="s">
        <v>584</v>
      </c>
      <c r="K51" s="17">
        <f>IF(COUNTIFS($C$2:C51,C51)=1,1,0)</f>
        <v>1</v>
      </c>
    </row>
    <row r="52" spans="1:11" hidden="1" x14ac:dyDescent="0.25">
      <c r="A52" s="19">
        <v>46303</v>
      </c>
      <c r="B52" s="4" t="s">
        <v>15</v>
      </c>
      <c r="C52" s="4" t="s">
        <v>890</v>
      </c>
      <c r="D52" s="4" t="s">
        <v>891</v>
      </c>
      <c r="E52" s="4" t="s">
        <v>749</v>
      </c>
      <c r="F52" s="4" t="s">
        <v>885</v>
      </c>
      <c r="G52" s="4" t="s">
        <v>892</v>
      </c>
      <c r="H52" s="4" t="s">
        <v>41</v>
      </c>
      <c r="I52" s="8">
        <v>2</v>
      </c>
      <c r="J52" s="4" t="s">
        <v>267</v>
      </c>
      <c r="K52" s="17">
        <f>IF(COUNTIFS($C$2:C52,C52)=1,1,0)</f>
        <v>1</v>
      </c>
    </row>
    <row r="53" spans="1:11" x14ac:dyDescent="0.25">
      <c r="A53" s="19">
        <v>46303</v>
      </c>
      <c r="B53" s="4" t="s">
        <v>16</v>
      </c>
      <c r="C53" s="4" t="s">
        <v>893</v>
      </c>
      <c r="D53" s="4" t="s">
        <v>894</v>
      </c>
      <c r="E53" s="4" t="s">
        <v>855</v>
      </c>
      <c r="F53" s="4" t="s">
        <v>867</v>
      </c>
      <c r="G53" s="4" t="s">
        <v>895</v>
      </c>
      <c r="H53" s="4" t="s">
        <v>43</v>
      </c>
      <c r="I53" s="8">
        <v>1</v>
      </c>
      <c r="J53" s="4" t="s">
        <v>306</v>
      </c>
      <c r="K53" s="17">
        <f>IF(COUNTIFS($C$2:C53,C53)=1,1,0)</f>
        <v>1</v>
      </c>
    </row>
    <row r="54" spans="1:11" x14ac:dyDescent="0.25">
      <c r="A54" s="19">
        <v>46303</v>
      </c>
      <c r="B54" s="4" t="s">
        <v>16</v>
      </c>
      <c r="C54" s="4" t="s">
        <v>896</v>
      </c>
      <c r="D54" s="4" t="s">
        <v>867</v>
      </c>
      <c r="E54" s="4" t="s">
        <v>855</v>
      </c>
      <c r="F54" s="4" t="s">
        <v>867</v>
      </c>
      <c r="G54" s="4" t="s">
        <v>889</v>
      </c>
      <c r="H54" s="4" t="s">
        <v>42</v>
      </c>
      <c r="I54" s="8">
        <v>2</v>
      </c>
      <c r="J54" s="4" t="s">
        <v>272</v>
      </c>
      <c r="K54" s="17">
        <f>IF(COUNTIFS($C$2:C54,C54)=1,1,0)</f>
        <v>1</v>
      </c>
    </row>
    <row r="55" spans="1:11" x14ac:dyDescent="0.25">
      <c r="A55" s="19">
        <v>46304</v>
      </c>
      <c r="B55" s="4" t="s">
        <v>16</v>
      </c>
      <c r="C55" s="4" t="s">
        <v>897</v>
      </c>
      <c r="D55" s="4" t="s">
        <v>898</v>
      </c>
      <c r="E55" s="4" t="s">
        <v>855</v>
      </c>
      <c r="F55" s="4" t="s">
        <v>867</v>
      </c>
      <c r="G55" s="4" t="s">
        <v>899</v>
      </c>
      <c r="H55" s="4" t="s">
        <v>41</v>
      </c>
      <c r="I55" s="8">
        <v>5</v>
      </c>
      <c r="J55" s="4" t="s">
        <v>182</v>
      </c>
      <c r="K55" s="17">
        <f>IF(COUNTIFS($C$2:C55,C55)=1,1,0)</f>
        <v>1</v>
      </c>
    </row>
  </sheetData>
  <autoFilter ref="A1:K55" xr:uid="{D9759A5F-6C35-4662-BC23-DA1D73FC43F4}">
    <filterColumn colId="1">
      <filters>
        <filter val="Tecnico B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E9C1-E4E4-4461-96ED-7C306478EE1E}">
  <sheetPr filterMode="1">
    <tabColor theme="5"/>
  </sheetPr>
  <dimension ref="A1:O32"/>
  <sheetViews>
    <sheetView workbookViewId="0">
      <selection activeCell="A32" sqref="A32:XFD32"/>
    </sheetView>
  </sheetViews>
  <sheetFormatPr defaultRowHeight="15" x14ac:dyDescent="0.25"/>
  <cols>
    <col min="2" max="2" width="12.7109375" bestFit="1" customWidth="1"/>
    <col min="7" max="7" width="38.5703125" bestFit="1" customWidth="1"/>
    <col min="14" max="14" width="15.85546875" bestFit="1" customWidth="1"/>
  </cols>
  <sheetData>
    <row r="1" spans="1:15" ht="38.25" x14ac:dyDescent="0.25">
      <c r="A1" s="16" t="s">
        <v>45</v>
      </c>
      <c r="B1" s="16" t="s">
        <v>9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39</v>
      </c>
      <c r="I1" s="16" t="s">
        <v>51</v>
      </c>
      <c r="J1" s="16" t="s">
        <v>52</v>
      </c>
      <c r="K1" s="16" t="s">
        <v>53</v>
      </c>
      <c r="N1" t="s">
        <v>1006</v>
      </c>
      <c r="O1">
        <f>SUM(I2:I32)</f>
        <v>100</v>
      </c>
    </row>
    <row r="2" spans="1:15" x14ac:dyDescent="0.25">
      <c r="A2" s="19">
        <v>46307</v>
      </c>
      <c r="B2" s="4" t="s">
        <v>15</v>
      </c>
      <c r="C2" s="4" t="s">
        <v>900</v>
      </c>
      <c r="D2" s="4" t="s">
        <v>901</v>
      </c>
      <c r="E2" s="4" t="s">
        <v>855</v>
      </c>
      <c r="F2" s="4" t="s">
        <v>902</v>
      </c>
      <c r="G2" s="4" t="s">
        <v>903</v>
      </c>
      <c r="H2" s="4" t="s">
        <v>41</v>
      </c>
      <c r="I2" s="8">
        <v>4</v>
      </c>
      <c r="J2" s="4" t="s">
        <v>904</v>
      </c>
      <c r="K2" s="17">
        <f>IF(COUNTIFS($C$2:C2,C2)=1,1,0)</f>
        <v>1</v>
      </c>
    </row>
    <row r="3" spans="1:15" x14ac:dyDescent="0.25">
      <c r="A3" s="19">
        <v>46308</v>
      </c>
      <c r="B3" s="4" t="s">
        <v>16</v>
      </c>
      <c r="C3" s="4" t="s">
        <v>905</v>
      </c>
      <c r="D3" s="4" t="s">
        <v>906</v>
      </c>
      <c r="E3" s="4" t="s">
        <v>56</v>
      </c>
      <c r="F3" s="4" t="s">
        <v>906</v>
      </c>
      <c r="G3" s="4" t="s">
        <v>907</v>
      </c>
      <c r="H3" s="4" t="s">
        <v>42</v>
      </c>
      <c r="I3" s="8">
        <v>4</v>
      </c>
      <c r="J3" s="18" t="s">
        <v>59</v>
      </c>
      <c r="K3" s="17">
        <f>IF(COUNTIFS($C$2:C3,C3)=1,1,0)</f>
        <v>1</v>
      </c>
    </row>
    <row r="4" spans="1:15" x14ac:dyDescent="0.25">
      <c r="A4" s="19">
        <v>46308</v>
      </c>
      <c r="B4" s="4" t="s">
        <v>16</v>
      </c>
      <c r="C4" s="4" t="s">
        <v>908</v>
      </c>
      <c r="D4" s="4" t="s">
        <v>909</v>
      </c>
      <c r="E4" s="4" t="s">
        <v>56</v>
      </c>
      <c r="F4" s="4" t="s">
        <v>910</v>
      </c>
      <c r="G4" s="4" t="s">
        <v>911</v>
      </c>
      <c r="H4" s="4" t="s">
        <v>41</v>
      </c>
      <c r="I4" s="8">
        <v>2</v>
      </c>
      <c r="J4" s="18" t="s">
        <v>124</v>
      </c>
      <c r="K4" s="17">
        <f>IF(COUNTIFS($C$2:C4,C4)=1,1,0)</f>
        <v>1</v>
      </c>
    </row>
    <row r="5" spans="1:15" x14ac:dyDescent="0.25">
      <c r="A5" s="19">
        <v>46308</v>
      </c>
      <c r="B5" s="4" t="s">
        <v>15</v>
      </c>
      <c r="C5" s="4" t="s">
        <v>912</v>
      </c>
      <c r="D5" s="4" t="s">
        <v>913</v>
      </c>
      <c r="E5" s="4" t="s">
        <v>855</v>
      </c>
      <c r="F5" s="4" t="s">
        <v>914</v>
      </c>
      <c r="G5" s="4" t="s">
        <v>915</v>
      </c>
      <c r="H5" s="4" t="s">
        <v>41</v>
      </c>
      <c r="I5" s="8">
        <v>2</v>
      </c>
      <c r="J5" s="4" t="s">
        <v>267</v>
      </c>
      <c r="K5" s="17">
        <f>IF(COUNTIFS($C$2:C5,C5)=1,1,0)</f>
        <v>1</v>
      </c>
    </row>
    <row r="6" spans="1:15" x14ac:dyDescent="0.25">
      <c r="A6" s="19">
        <v>46308</v>
      </c>
      <c r="B6" s="4" t="s">
        <v>15</v>
      </c>
      <c r="C6" s="4" t="s">
        <v>916</v>
      </c>
      <c r="D6" s="4" t="s">
        <v>917</v>
      </c>
      <c r="E6" s="4" t="s">
        <v>359</v>
      </c>
      <c r="F6" s="4" t="s">
        <v>494</v>
      </c>
      <c r="G6" s="4" t="s">
        <v>918</v>
      </c>
      <c r="H6" s="4" t="s">
        <v>41</v>
      </c>
      <c r="I6" s="8">
        <v>2</v>
      </c>
      <c r="J6" s="4" t="s">
        <v>353</v>
      </c>
      <c r="K6" s="17">
        <f>IF(COUNTIFS($C$2:C6,C6)=1,1,0)</f>
        <v>1</v>
      </c>
    </row>
    <row r="7" spans="1:15" x14ac:dyDescent="0.25">
      <c r="A7" s="19">
        <v>46308</v>
      </c>
      <c r="B7" s="4" t="s">
        <v>16</v>
      </c>
      <c r="C7" s="4" t="s">
        <v>919</v>
      </c>
      <c r="D7" s="4" t="s">
        <v>920</v>
      </c>
      <c r="E7" s="4" t="s">
        <v>56</v>
      </c>
      <c r="F7" s="4" t="s">
        <v>921</v>
      </c>
      <c r="G7" s="4" t="s">
        <v>922</v>
      </c>
      <c r="H7" s="4" t="s">
        <v>41</v>
      </c>
      <c r="I7" s="8">
        <v>1</v>
      </c>
      <c r="J7" s="18" t="s">
        <v>521</v>
      </c>
      <c r="K7" s="17">
        <f>IF(COUNTIFS($C$2:C7,C7)=1,1,0)</f>
        <v>1</v>
      </c>
    </row>
    <row r="8" spans="1:15" x14ac:dyDescent="0.25">
      <c r="A8" s="19">
        <v>46309</v>
      </c>
      <c r="B8" s="4" t="s">
        <v>16</v>
      </c>
      <c r="C8" s="4" t="s">
        <v>923</v>
      </c>
      <c r="D8" s="4" t="s">
        <v>906</v>
      </c>
      <c r="E8" s="4" t="s">
        <v>56</v>
      </c>
      <c r="F8" s="4" t="s">
        <v>906</v>
      </c>
      <c r="G8" s="4" t="s">
        <v>924</v>
      </c>
      <c r="H8" s="4" t="s">
        <v>40</v>
      </c>
      <c r="I8" s="8">
        <v>6</v>
      </c>
      <c r="J8" s="18" t="s">
        <v>632</v>
      </c>
      <c r="K8" s="17">
        <f>IF(COUNTIFS($C$2:C8,C8)=1,1,0)</f>
        <v>1</v>
      </c>
    </row>
    <row r="9" spans="1:15" x14ac:dyDescent="0.25">
      <c r="A9" s="19">
        <v>46309</v>
      </c>
      <c r="B9" s="4" t="s">
        <v>15</v>
      </c>
      <c r="C9" s="4" t="s">
        <v>925</v>
      </c>
      <c r="D9" s="4" t="s">
        <v>926</v>
      </c>
      <c r="E9" s="4" t="s">
        <v>359</v>
      </c>
      <c r="F9" s="4" t="s">
        <v>494</v>
      </c>
      <c r="G9" s="4" t="s">
        <v>927</v>
      </c>
      <c r="H9" s="4" t="s">
        <v>41</v>
      </c>
      <c r="I9" s="8">
        <v>4</v>
      </c>
      <c r="J9" s="4" t="s">
        <v>391</v>
      </c>
      <c r="K9" s="17">
        <f>IF(COUNTIFS($C$2:C9,C9)=1,1,0)</f>
        <v>1</v>
      </c>
    </row>
    <row r="10" spans="1:15" x14ac:dyDescent="0.25">
      <c r="A10" s="19">
        <v>46309</v>
      </c>
      <c r="B10" s="4" t="s">
        <v>15</v>
      </c>
      <c r="C10" s="4" t="s">
        <v>928</v>
      </c>
      <c r="D10" s="4" t="s">
        <v>929</v>
      </c>
      <c r="E10" s="4" t="s">
        <v>359</v>
      </c>
      <c r="F10" s="4" t="s">
        <v>494</v>
      </c>
      <c r="G10" s="4" t="s">
        <v>930</v>
      </c>
      <c r="H10" s="4" t="s">
        <v>41</v>
      </c>
      <c r="I10" s="8">
        <v>4</v>
      </c>
      <c r="J10" s="4" t="s">
        <v>931</v>
      </c>
      <c r="K10" s="17">
        <f>IF(COUNTIFS($C$2:C10,C10)=1,1,0)</f>
        <v>1</v>
      </c>
    </row>
    <row r="11" spans="1:15" x14ac:dyDescent="0.25">
      <c r="A11" s="19">
        <v>46309</v>
      </c>
      <c r="B11" s="4" t="s">
        <v>16</v>
      </c>
      <c r="C11" s="4" t="s">
        <v>932</v>
      </c>
      <c r="D11" s="4" t="s">
        <v>933</v>
      </c>
      <c r="E11" s="4" t="s">
        <v>56</v>
      </c>
      <c r="F11" s="4" t="s">
        <v>57</v>
      </c>
      <c r="G11" s="4" t="s">
        <v>934</v>
      </c>
      <c r="H11" s="4" t="s">
        <v>43</v>
      </c>
      <c r="I11" s="8">
        <v>1</v>
      </c>
      <c r="J11" s="18" t="s">
        <v>112</v>
      </c>
      <c r="K11" s="17">
        <f>IF(COUNTIFS($C$2:C11,C11)=1,1,0)</f>
        <v>1</v>
      </c>
    </row>
    <row r="12" spans="1:15" x14ac:dyDescent="0.25">
      <c r="A12" s="19">
        <v>46310</v>
      </c>
      <c r="B12" s="4" t="s">
        <v>16</v>
      </c>
      <c r="C12" s="4" t="s">
        <v>935</v>
      </c>
      <c r="D12" s="4" t="s">
        <v>936</v>
      </c>
      <c r="E12" s="4" t="s">
        <v>56</v>
      </c>
      <c r="F12" s="4" t="s">
        <v>57</v>
      </c>
      <c r="G12" s="4" t="s">
        <v>937</v>
      </c>
      <c r="H12" s="4" t="s">
        <v>43</v>
      </c>
      <c r="I12" s="8">
        <v>5</v>
      </c>
      <c r="J12" s="18" t="s">
        <v>938</v>
      </c>
      <c r="K12" s="17">
        <f>IF(COUNTIFS($C$2:C12,C12)=1,1,0)</f>
        <v>1</v>
      </c>
    </row>
    <row r="13" spans="1:15" x14ac:dyDescent="0.25">
      <c r="A13" s="19">
        <v>46310</v>
      </c>
      <c r="B13" s="4" t="s">
        <v>16</v>
      </c>
      <c r="C13" s="4" t="s">
        <v>939</v>
      </c>
      <c r="D13" s="4" t="s">
        <v>940</v>
      </c>
      <c r="E13" s="4" t="s">
        <v>56</v>
      </c>
      <c r="F13" s="4" t="s">
        <v>57</v>
      </c>
      <c r="G13" s="4" t="s">
        <v>941</v>
      </c>
      <c r="H13" s="4" t="s">
        <v>43</v>
      </c>
      <c r="I13" s="8">
        <v>2</v>
      </c>
      <c r="J13" s="18" t="s">
        <v>124</v>
      </c>
      <c r="K13" s="17">
        <f>IF(COUNTIFS($C$2:C13,C13)=1,1,0)</f>
        <v>1</v>
      </c>
    </row>
    <row r="14" spans="1:15" s="35" customFormat="1" hidden="1" x14ac:dyDescent="0.25">
      <c r="A14" s="30">
        <v>46314</v>
      </c>
      <c r="B14" s="31" t="s">
        <v>17</v>
      </c>
      <c r="C14" s="31" t="s">
        <v>942</v>
      </c>
      <c r="D14" s="31" t="s">
        <v>943</v>
      </c>
      <c r="E14" s="31" t="s">
        <v>693</v>
      </c>
      <c r="F14" s="31" t="s">
        <v>743</v>
      </c>
      <c r="G14" s="31" t="s">
        <v>944</v>
      </c>
      <c r="H14" s="31" t="s">
        <v>41</v>
      </c>
      <c r="I14" s="32">
        <v>3</v>
      </c>
      <c r="J14" s="31" t="s">
        <v>945</v>
      </c>
      <c r="K14" s="34">
        <f>IF(COUNTIFS($C$2:C14,C14)=1,1,0)</f>
        <v>1</v>
      </c>
    </row>
    <row r="15" spans="1:15" s="35" customFormat="1" hidden="1" x14ac:dyDescent="0.25">
      <c r="A15" s="30">
        <v>46314</v>
      </c>
      <c r="B15" s="31" t="s">
        <v>17</v>
      </c>
      <c r="C15" s="31" t="s">
        <v>946</v>
      </c>
      <c r="D15" s="31" t="s">
        <v>947</v>
      </c>
      <c r="E15" s="31" t="s">
        <v>693</v>
      </c>
      <c r="F15" s="31" t="s">
        <v>743</v>
      </c>
      <c r="G15" s="31" t="s">
        <v>948</v>
      </c>
      <c r="H15" s="31" t="s">
        <v>41</v>
      </c>
      <c r="I15" s="32">
        <v>2</v>
      </c>
      <c r="J15" s="31" t="s">
        <v>949</v>
      </c>
      <c r="K15" s="34">
        <f>IF(COUNTIFS($C$2:C15,C15)=1,1,0)</f>
        <v>1</v>
      </c>
    </row>
    <row r="16" spans="1:15" s="35" customFormat="1" hidden="1" x14ac:dyDescent="0.25">
      <c r="A16" s="30">
        <v>46315</v>
      </c>
      <c r="B16" s="31" t="s">
        <v>17</v>
      </c>
      <c r="C16" s="31" t="s">
        <v>950</v>
      </c>
      <c r="D16" s="31" t="s">
        <v>951</v>
      </c>
      <c r="E16" s="31" t="s">
        <v>693</v>
      </c>
      <c r="F16" s="31" t="s">
        <v>743</v>
      </c>
      <c r="G16" s="31" t="s">
        <v>952</v>
      </c>
      <c r="H16" s="31" t="s">
        <v>41</v>
      </c>
      <c r="I16" s="32">
        <v>6</v>
      </c>
      <c r="J16" s="31" t="s">
        <v>161</v>
      </c>
      <c r="K16" s="34">
        <f>IF(COUNTIFS($C$2:C16,C16)=1,1,0)</f>
        <v>1</v>
      </c>
    </row>
    <row r="17" spans="1:11" x14ac:dyDescent="0.25">
      <c r="A17" s="19">
        <v>46315</v>
      </c>
      <c r="B17" s="4" t="s">
        <v>16</v>
      </c>
      <c r="C17" s="4" t="s">
        <v>953</v>
      </c>
      <c r="D17" s="4" t="s">
        <v>954</v>
      </c>
      <c r="E17" s="4" t="s">
        <v>56</v>
      </c>
      <c r="F17" s="4" t="s">
        <v>57</v>
      </c>
      <c r="G17" s="4" t="s">
        <v>955</v>
      </c>
      <c r="H17" s="4" t="s">
        <v>41</v>
      </c>
      <c r="I17" s="8">
        <v>3</v>
      </c>
      <c r="J17" s="18" t="s">
        <v>124</v>
      </c>
      <c r="K17" s="17">
        <f>IF(COUNTIFS($C$2:C17,C17)=1,1,0)</f>
        <v>1</v>
      </c>
    </row>
    <row r="18" spans="1:11" x14ac:dyDescent="0.25">
      <c r="A18" s="19">
        <v>46315</v>
      </c>
      <c r="B18" s="4" t="s">
        <v>15</v>
      </c>
      <c r="C18" s="4" t="s">
        <v>956</v>
      </c>
      <c r="D18" s="4" t="s">
        <v>957</v>
      </c>
      <c r="E18" s="4" t="s">
        <v>56</v>
      </c>
      <c r="F18" s="4" t="s">
        <v>57</v>
      </c>
      <c r="G18" s="4" t="s">
        <v>958</v>
      </c>
      <c r="H18" s="4" t="s">
        <v>41</v>
      </c>
      <c r="I18" s="8">
        <v>3</v>
      </c>
      <c r="J18" s="18" t="s">
        <v>78</v>
      </c>
      <c r="K18" s="17">
        <f>IF(COUNTIFS($C$2:C18,C18)=1,1,0)</f>
        <v>1</v>
      </c>
    </row>
    <row r="19" spans="1:11" x14ac:dyDescent="0.25">
      <c r="A19" s="19">
        <v>46315</v>
      </c>
      <c r="B19" s="18" t="s">
        <v>15</v>
      </c>
      <c r="C19" s="4" t="s">
        <v>959</v>
      </c>
      <c r="D19" s="4" t="s">
        <v>960</v>
      </c>
      <c r="E19" s="4" t="s">
        <v>56</v>
      </c>
      <c r="F19" s="4" t="s">
        <v>57</v>
      </c>
      <c r="G19" s="4" t="s">
        <v>961</v>
      </c>
      <c r="H19" s="4" t="s">
        <v>41</v>
      </c>
      <c r="I19" s="8">
        <v>3</v>
      </c>
      <c r="J19" s="18" t="s">
        <v>124</v>
      </c>
      <c r="K19" s="17">
        <f>IF(COUNTIFS($C$2:C19,C19)=1,1,0)</f>
        <v>1</v>
      </c>
    </row>
    <row r="20" spans="1:11" x14ac:dyDescent="0.25">
      <c r="A20" s="19">
        <v>46315</v>
      </c>
      <c r="B20" s="4" t="s">
        <v>16</v>
      </c>
      <c r="C20" s="4" t="s">
        <v>962</v>
      </c>
      <c r="D20" s="4" t="s">
        <v>963</v>
      </c>
      <c r="E20" s="4" t="s">
        <v>56</v>
      </c>
      <c r="F20" s="4" t="s">
        <v>57</v>
      </c>
      <c r="G20" s="4" t="s">
        <v>964</v>
      </c>
      <c r="H20" s="4" t="s">
        <v>43</v>
      </c>
      <c r="I20" s="8">
        <v>3</v>
      </c>
      <c r="J20" s="18" t="s">
        <v>78</v>
      </c>
      <c r="K20" s="17">
        <f>IF(COUNTIFS($C$2:C20,C20)=1,1,0)</f>
        <v>1</v>
      </c>
    </row>
    <row r="21" spans="1:11" x14ac:dyDescent="0.25">
      <c r="A21" s="19">
        <v>46315</v>
      </c>
      <c r="B21" s="4" t="s">
        <v>16</v>
      </c>
      <c r="C21" s="4" t="s">
        <v>965</v>
      </c>
      <c r="D21" s="4" t="s">
        <v>966</v>
      </c>
      <c r="E21" s="4" t="s">
        <v>56</v>
      </c>
      <c r="F21" s="4" t="s">
        <v>57</v>
      </c>
      <c r="G21" s="4" t="s">
        <v>967</v>
      </c>
      <c r="H21" s="4" t="s">
        <v>41</v>
      </c>
      <c r="I21" s="8">
        <v>1</v>
      </c>
      <c r="J21" s="18" t="s">
        <v>812</v>
      </c>
      <c r="K21" s="17">
        <f>IF(COUNTIFS($C$2:C21,C21)=1,1,0)</f>
        <v>1</v>
      </c>
    </row>
    <row r="22" spans="1:11" x14ac:dyDescent="0.25">
      <c r="A22" s="19">
        <v>46316</v>
      </c>
      <c r="B22" s="18" t="s">
        <v>15</v>
      </c>
      <c r="C22" s="4" t="s">
        <v>968</v>
      </c>
      <c r="D22" s="4" t="s">
        <v>969</v>
      </c>
      <c r="E22" s="4" t="s">
        <v>56</v>
      </c>
      <c r="F22" s="4" t="s">
        <v>57</v>
      </c>
      <c r="G22" s="4" t="s">
        <v>970</v>
      </c>
      <c r="H22" s="4" t="s">
        <v>41</v>
      </c>
      <c r="I22" s="8">
        <v>6</v>
      </c>
      <c r="J22" s="18" t="s">
        <v>71</v>
      </c>
      <c r="K22" s="17">
        <f>IF(COUNTIFS($C$2:C22,C22)=1,1,0)</f>
        <v>1</v>
      </c>
    </row>
    <row r="23" spans="1:11" s="35" customFormat="1" hidden="1" x14ac:dyDescent="0.25">
      <c r="A23" s="30">
        <v>46316</v>
      </c>
      <c r="B23" s="31" t="s">
        <v>17</v>
      </c>
      <c r="C23" s="31" t="s">
        <v>971</v>
      </c>
      <c r="D23" s="31" t="s">
        <v>972</v>
      </c>
      <c r="E23" s="31" t="s">
        <v>693</v>
      </c>
      <c r="F23" s="31" t="s">
        <v>743</v>
      </c>
      <c r="G23" s="31" t="s">
        <v>973</v>
      </c>
      <c r="H23" s="31" t="s">
        <v>41</v>
      </c>
      <c r="I23" s="32">
        <v>4</v>
      </c>
      <c r="J23" s="31" t="s">
        <v>209</v>
      </c>
      <c r="K23" s="34">
        <f>IF(COUNTIFS($C$2:C23,C23)=1,1,0)</f>
        <v>1</v>
      </c>
    </row>
    <row r="24" spans="1:11" x14ac:dyDescent="0.25">
      <c r="A24" s="19">
        <v>46316</v>
      </c>
      <c r="B24" s="4" t="s">
        <v>16</v>
      </c>
      <c r="C24" s="4" t="s">
        <v>974</v>
      </c>
      <c r="D24" s="4" t="s">
        <v>975</v>
      </c>
      <c r="E24" s="4" t="s">
        <v>56</v>
      </c>
      <c r="F24" s="4" t="s">
        <v>57</v>
      </c>
      <c r="G24" s="4" t="s">
        <v>976</v>
      </c>
      <c r="H24" s="4" t="s">
        <v>41</v>
      </c>
      <c r="I24" s="8">
        <v>3</v>
      </c>
      <c r="J24" s="18" t="s">
        <v>124</v>
      </c>
      <c r="K24" s="17">
        <f>IF(COUNTIFS($C$2:C24,C24)=1,1,0)</f>
        <v>1</v>
      </c>
    </row>
    <row r="25" spans="1:11" x14ac:dyDescent="0.25">
      <c r="A25" s="19">
        <v>46316</v>
      </c>
      <c r="B25" s="18" t="s">
        <v>16</v>
      </c>
      <c r="C25" s="4" t="s">
        <v>977</v>
      </c>
      <c r="D25" s="4" t="s">
        <v>978</v>
      </c>
      <c r="E25" s="4" t="s">
        <v>56</v>
      </c>
      <c r="F25" s="4" t="s">
        <v>57</v>
      </c>
      <c r="G25" s="4" t="s">
        <v>979</v>
      </c>
      <c r="H25" s="4" t="s">
        <v>41</v>
      </c>
      <c r="I25" s="8">
        <v>3</v>
      </c>
      <c r="J25" s="18" t="s">
        <v>59</v>
      </c>
      <c r="K25" s="17">
        <f>IF(COUNTIFS($C$2:C25,C25)=1,1,0)</f>
        <v>1</v>
      </c>
    </row>
    <row r="26" spans="1:11" s="35" customFormat="1" hidden="1" x14ac:dyDescent="0.25">
      <c r="A26" s="30">
        <v>46316</v>
      </c>
      <c r="B26" s="31" t="s">
        <v>17</v>
      </c>
      <c r="C26" s="31" t="s">
        <v>980</v>
      </c>
      <c r="D26" s="31" t="s">
        <v>981</v>
      </c>
      <c r="E26" s="31" t="s">
        <v>693</v>
      </c>
      <c r="F26" s="31" t="s">
        <v>743</v>
      </c>
      <c r="G26" s="31" t="s">
        <v>982</v>
      </c>
      <c r="H26" s="31" t="s">
        <v>41</v>
      </c>
      <c r="I26" s="32">
        <v>3</v>
      </c>
      <c r="J26" s="31" t="s">
        <v>78</v>
      </c>
      <c r="K26" s="34">
        <f>IF(COUNTIFS($C$2:C26,C26)=1,1,0)</f>
        <v>1</v>
      </c>
    </row>
    <row r="27" spans="1:11" x14ac:dyDescent="0.25">
      <c r="A27" s="19">
        <v>46316</v>
      </c>
      <c r="B27" s="4" t="s">
        <v>16</v>
      </c>
      <c r="C27" s="4" t="s">
        <v>983</v>
      </c>
      <c r="D27" s="4" t="s">
        <v>984</v>
      </c>
      <c r="E27" s="4" t="s">
        <v>56</v>
      </c>
      <c r="F27" s="4" t="s">
        <v>57</v>
      </c>
      <c r="G27" s="4" t="s">
        <v>985</v>
      </c>
      <c r="H27" s="4" t="s">
        <v>41</v>
      </c>
      <c r="I27" s="8">
        <v>2</v>
      </c>
      <c r="J27" s="18" t="s">
        <v>521</v>
      </c>
      <c r="K27" s="17">
        <f>IF(COUNTIFS($C$2:C27,C27)=1,1,0)</f>
        <v>1</v>
      </c>
    </row>
    <row r="28" spans="1:11" x14ac:dyDescent="0.25">
      <c r="A28" s="19">
        <v>46317</v>
      </c>
      <c r="B28" s="4" t="s">
        <v>16</v>
      </c>
      <c r="C28" s="4" t="s">
        <v>986</v>
      </c>
      <c r="D28" s="4" t="s">
        <v>987</v>
      </c>
      <c r="E28" s="4" t="s">
        <v>56</v>
      </c>
      <c r="F28" s="4" t="s">
        <v>57</v>
      </c>
      <c r="G28" s="4" t="s">
        <v>988</v>
      </c>
      <c r="H28" s="4" t="s">
        <v>41</v>
      </c>
      <c r="I28" s="8">
        <v>3</v>
      </c>
      <c r="J28" s="18" t="s">
        <v>124</v>
      </c>
      <c r="K28" s="17">
        <f>IF(COUNTIFS($C$2:C28,C28)=1,1,0)</f>
        <v>1</v>
      </c>
    </row>
    <row r="29" spans="1:11" x14ac:dyDescent="0.25">
      <c r="A29" s="19">
        <v>46317</v>
      </c>
      <c r="B29" s="4" t="s">
        <v>16</v>
      </c>
      <c r="C29" s="4" t="s">
        <v>989</v>
      </c>
      <c r="D29" s="4" t="s">
        <v>990</v>
      </c>
      <c r="E29" s="4" t="s">
        <v>56</v>
      </c>
      <c r="F29" s="4" t="s">
        <v>57</v>
      </c>
      <c r="G29" s="4" t="s">
        <v>991</v>
      </c>
      <c r="H29" s="4" t="s">
        <v>41</v>
      </c>
      <c r="I29" s="8">
        <v>3</v>
      </c>
      <c r="J29" s="18" t="s">
        <v>78</v>
      </c>
      <c r="K29" s="17">
        <f>IF(COUNTIFS($C$2:C29,C29)=1,1,0)</f>
        <v>1</v>
      </c>
    </row>
    <row r="30" spans="1:11" x14ac:dyDescent="0.25">
      <c r="A30" s="19">
        <v>46317</v>
      </c>
      <c r="B30" s="18" t="s">
        <v>15</v>
      </c>
      <c r="C30" s="4" t="s">
        <v>992</v>
      </c>
      <c r="D30" s="4" t="s">
        <v>993</v>
      </c>
      <c r="E30" s="4" t="s">
        <v>56</v>
      </c>
      <c r="F30" s="4" t="s">
        <v>57</v>
      </c>
      <c r="G30" s="4" t="s">
        <v>994</v>
      </c>
      <c r="H30" s="4" t="s">
        <v>41</v>
      </c>
      <c r="I30" s="8">
        <v>7</v>
      </c>
      <c r="J30" s="18" t="s">
        <v>71</v>
      </c>
      <c r="K30" s="17">
        <f>IF(COUNTIFS($C$2:C30,C30)=1,1,0)</f>
        <v>1</v>
      </c>
    </row>
    <row r="31" spans="1:11" s="35" customFormat="1" hidden="1" x14ac:dyDescent="0.25">
      <c r="A31" s="30">
        <v>46317</v>
      </c>
      <c r="B31" s="31" t="s">
        <v>17</v>
      </c>
      <c r="C31" s="31" t="s">
        <v>995</v>
      </c>
      <c r="D31" s="31" t="s">
        <v>996</v>
      </c>
      <c r="E31" s="31" t="s">
        <v>693</v>
      </c>
      <c r="F31" s="31" t="s">
        <v>743</v>
      </c>
      <c r="G31" s="31" t="s">
        <v>997</v>
      </c>
      <c r="H31" s="31" t="s">
        <v>41</v>
      </c>
      <c r="I31" s="32">
        <v>2</v>
      </c>
      <c r="J31" s="31" t="s">
        <v>808</v>
      </c>
      <c r="K31" s="34">
        <f>IF(COUNTIFS($C$2:C31,C31)=1,1,0)</f>
        <v>1</v>
      </c>
    </row>
    <row r="32" spans="1:11" x14ac:dyDescent="0.25">
      <c r="A32" s="19">
        <v>46318</v>
      </c>
      <c r="B32" s="4" t="s">
        <v>16</v>
      </c>
      <c r="C32" s="4" t="s">
        <v>998</v>
      </c>
      <c r="D32" s="4" t="s">
        <v>999</v>
      </c>
      <c r="E32" s="4" t="s">
        <v>56</v>
      </c>
      <c r="F32" s="4" t="s">
        <v>57</v>
      </c>
      <c r="G32" s="4" t="s">
        <v>1000</v>
      </c>
      <c r="H32" s="4" t="s">
        <v>41</v>
      </c>
      <c r="I32" s="8">
        <v>3</v>
      </c>
      <c r="J32" s="18" t="s">
        <v>124</v>
      </c>
      <c r="K32" s="17">
        <f>IF(COUNTIFS($C$2:C32,C32)=1,1,0)</f>
        <v>1</v>
      </c>
    </row>
  </sheetData>
  <autoFilter ref="A1:K32" xr:uid="{4B7AE9C1-E4E4-4461-96ED-7C306478EE1E}">
    <filterColumn colId="1">
      <filters>
        <filter val="Tecnico A1"/>
        <filter val="Tecnico B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10e002-e81b-452e-887f-20d42f4f465e" xsi:nil="true"/>
    <lcf76f155ced4ddcb4097134ff3c332f xmlns="42ad264e-702f-4c16-a8b8-299f03d18661">
      <Terms xmlns="http://schemas.microsoft.com/office/infopath/2007/PartnerControls"/>
    </lcf76f155ced4ddcb4097134ff3c332f>
    <Collegamento xmlns="42ad264e-702f-4c16-a8b8-299f03d18661">
      <Url xsi:nil="true"/>
      <Description xsi:nil="true"/>
    </Collegamento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C6CD1A195B0447A3983750C8886A90" ma:contentTypeVersion="15" ma:contentTypeDescription="Create a new document." ma:contentTypeScope="" ma:versionID="7e41de5929d5728b91ee99677309ad92">
  <xsd:schema xmlns:xsd="http://www.w3.org/2001/XMLSchema" xmlns:xs="http://www.w3.org/2001/XMLSchema" xmlns:p="http://schemas.microsoft.com/office/2006/metadata/properties" xmlns:ns1="http://schemas.microsoft.com/sharepoint/v3" xmlns:ns2="42ad264e-702f-4c16-a8b8-299f03d18661" xmlns:ns3="9110e002-e81b-452e-887f-20d42f4f465e" targetNamespace="http://schemas.microsoft.com/office/2006/metadata/properties" ma:root="true" ma:fieldsID="e29f2b1ca23b1dbeba02b1412ede45eb" ns1:_="" ns2:_="" ns3:_="">
    <xsd:import namespace="http://schemas.microsoft.com/sharepoint/v3"/>
    <xsd:import namespace="42ad264e-702f-4c16-a8b8-299f03d18661"/>
    <xsd:import namespace="9110e002-e81b-452e-887f-20d42f4f4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llegamento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d264e-702f-4c16-a8b8-299f03d186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b6e08cb-cd97-4787-828a-afadba759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llegamento" ma:index="18" nillable="true" ma:displayName="Collegamento" ma:format="Hyperlink" ma:internalName="Collegament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0e002-e81b-452e-887f-20d42f4f465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1cfa1f2-9f28-462e-82de-d00691ff63de}" ma:internalName="TaxCatchAll" ma:showField="CatchAllData" ma:web="9110e002-e81b-452e-887f-20d42f4f46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129B07-A664-4F7E-962A-9D7018183998}">
  <ds:schemaRefs>
    <ds:schemaRef ds:uri="http://schemas.microsoft.com/office/2006/metadata/properties"/>
    <ds:schemaRef ds:uri="http://www.w3.org/2000/xmlns/"/>
    <ds:schemaRef ds:uri="9110e002-e81b-452e-887f-20d42f4f465e"/>
    <ds:schemaRef ds:uri="http://www.w3.org/2001/XMLSchema-instance"/>
    <ds:schemaRef ds:uri="42ad264e-702f-4c16-a8b8-299f03d18661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D8460D3-3587-46ED-815B-C9AAA586A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59285E-6201-4A01-982C-41EDCEBBEEA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42ad264e-702f-4c16-a8b8-299f03d18661"/>
    <ds:schemaRef ds:uri="9110e002-e81b-452e-887f-20d42f4f465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d9d159-dbfc-40ea-8784-ed757da15262}" enabled="1" method="Standard" siteId="{ea9c6c22-161b-41e7-b1ee-576444becd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Riepilogo</vt:lpstr>
      <vt:lpstr>Calendario</vt:lpstr>
      <vt:lpstr>Pilota</vt:lpstr>
      <vt:lpstr>Tecnico A</vt:lpstr>
      <vt:lpstr>Tecnico B</vt:lpstr>
      <vt:lpstr>Tecnico C</vt:lpstr>
      <vt:lpstr>1°Preparazione</vt:lpstr>
      <vt:lpstr>Preparazinoe Tecnico C</vt:lpstr>
      <vt:lpstr>2°Preparazione (25-ago)</vt:lpstr>
      <vt:lpstr>3°Preparazione (8-sett)</vt:lpstr>
      <vt:lpstr>4°Preparazione (21-sett)</vt:lpstr>
      <vt:lpstr>5°Preparazione (5-ott)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Simone Ghilardi</cp:lastModifiedBy>
  <cp:revision>0</cp:revision>
  <dcterms:created xsi:type="dcterms:W3CDTF">2026-07-20T07:51:33Z</dcterms:created>
  <dcterms:modified xsi:type="dcterms:W3CDTF">2026-10-02T14:25:14Z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0x010100E8C6CD1A195B0447A3983750C8886A90</vt:lpwstr>
  </property>
  <property fmtid="{D5CDD505-2E9C-101B-9397-08002B2CF9AE}" pid="3" name="MediaServiceImageTags">
    <vt:lpwstr/>
  </property>
</Properties>
</file>